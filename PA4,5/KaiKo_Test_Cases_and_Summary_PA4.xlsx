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est Summary" sheetId="2" state="visible" r:id="rId4"/>
    <sheet name="Defects" sheetId="3" state="visible" r:id="rId5"/>
  </sheets>
  <definedNames>
    <definedName function="false" hidden="true" localSheetId="0" name="_xlnm._FilterDatabase" vbProcedure="false">'Test Cases'!$A$1:$K$41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<sst xmlns="http://schemas.openxmlformats.org/spreadsheetml/2006/main" count="492" uniqueCount="337">
  <si>
    <t xml:space="preserve">Test Case ID</t>
  </si>
  <si>
    <t xml:space="preserve">Use Case</t>
  </si>
  <si>
    <t xml:space="preserve">Test Case Title</t>
  </si>
  <si>
    <t xml:space="preserve">Precondition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</si>
  <si>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</si>
  <si>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</si>
  <si>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</si>
  <si>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</si>
  <si>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</si>
  <si>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Defect ID</t>
  </si>
  <si>
    <t xml:space="preserve">Tester</t>
  </si>
  <si>
    <t xml:space="preserve">TC-01-01</t>
  </si>
  <si>
    <t xml:space="preserve">UC01 – Đăng nhập (Login)</t>
  </si>
  <si>
    <t xml:space="preserve">Đăng nhập username/password hợp lệ</t>
  </si>
  <si>
    <t xml:space="preserve">Đã có tài khoản; đang ở trang Đăng nhập</t>
  </si>
  <si>
    <t xml:space="preserve">1. Nhập username hợp lệ
2. Nhập password đúng
3. Nhấn Đăng nhập</t>
  </si>
  <si>
    <t xml:space="preserve">user: kaiko_test / pass: Test@123</t>
  </si>
  <si>
    <t xml:space="preserve">Đăng nhập thành công, chuyển tới Dashboard</t>
  </si>
  <si>
    <t xml:space="preserve">Vào Dashboard đúng như mong đợi</t>
  </si>
  <si>
    <t xml:space="preserve">Pass</t>
  </si>
  <si>
    <t xml:space="preserve">Thịnh</t>
  </si>
  <si>
    <t xml:space="preserve">TC-01-02</t>
  </si>
  <si>
    <t xml:space="preserve">Đăng nhập sai mật khẩu</t>
  </si>
  <si>
    <t xml:space="preserve">Đã có tài khoản</t>
  </si>
  <si>
    <t xml:space="preserve">1. Nhập username đúng
2. Nhập password sai
3. Nhấn Đăng nhập</t>
  </si>
  <si>
    <t xml:space="preserve">pass: SaiMatKhau</t>
  </si>
  <si>
    <t xml:space="preserve">Hiển thị thông báo lỗi, không đăng nhập</t>
  </si>
  <si>
    <t xml:space="preserve">Báo lỗi thông tin không đúng</t>
  </si>
  <si>
    <t xml:space="preserve">TC-01-03</t>
  </si>
  <si>
    <t xml:space="preserve">Bỏ trống username</t>
  </si>
  <si>
    <t xml:space="preserve">Ở trang Đăng nhập</t>
  </si>
  <si>
    <t xml:space="preserve">1. Để trống username
2. Nhập password
3. Nhấn Đăng nhập</t>
  </si>
  <si>
    <t xml:space="preserve">username rỗng</t>
  </si>
  <si>
    <t xml:space="preserve">Chặn submit / báo trường bắt buộc</t>
  </si>
  <si>
    <t xml:space="preserve">Không cho đăng nhập</t>
  </si>
  <si>
    <t xml:space="preserve">TC-01-04</t>
  </si>
  <si>
    <t xml:space="preserve">Đăng nhập bằng Clerk OAuth (Google)</t>
  </si>
  <si>
    <t xml:space="preserve">Có tài khoản Google</t>
  </si>
  <si>
    <t xml:space="preserve">1. Nhấn 'Đăng nhập với Google'
2. Chọn tài khoản Google</t>
  </si>
  <si>
    <t xml:space="preserve">Google account</t>
  </si>
  <si>
    <t xml:space="preserve">Đăng nhập OAuth thành công, vào Dashboard</t>
  </si>
  <si>
    <t xml:space="preserve">Đăng nhập Google thành công</t>
  </si>
  <si>
    <t xml:space="preserve">Linh</t>
  </si>
  <si>
    <t xml:space="preserve">TC-01-05</t>
  </si>
  <si>
    <t xml:space="preserve">Đăng nhập username không tồn tại</t>
  </si>
  <si>
    <t xml:space="preserve">1. Nhập username chưa đăng ký
2. Nhập password bất kỳ
3. Đăng nhập</t>
  </si>
  <si>
    <t xml:space="preserve">user: notexist</t>
  </si>
  <si>
    <t xml:space="preserve">Báo lỗi tài khoản không tồn tại</t>
  </si>
  <si>
    <t xml:space="preserve">Báo lỗi đúng</t>
  </si>
  <si>
    <t xml:space="preserve">TC-02-01</t>
  </si>
  <si>
    <t xml:space="preserve">UC02 – Đăng ký tài khoản (Register)</t>
  </si>
  <si>
    <t xml:space="preserve">Đăng ký tài khoản mới hợp lệ</t>
  </si>
  <si>
    <t xml:space="preserve">Ở trang Đăng ký</t>
  </si>
  <si>
    <t xml:space="preserve">1. Nhập username mới
2. Nhập password hợp lệ
3. Nhấn Đăng ký</t>
  </si>
  <si>
    <t xml:space="preserve">user: kaiko_new / pass: New@123</t>
  </si>
  <si>
    <t xml:space="preserve">Tạo tài khoản thành công</t>
  </si>
  <si>
    <t xml:space="preserve">TC-02-02</t>
  </si>
  <si>
    <t xml:space="preserve">Đăng ký username đã tồn tại</t>
  </si>
  <si>
    <t xml:space="preserve">Username đã tồn tại trong hệ thống</t>
  </si>
  <si>
    <t xml:space="preserve">1. Nhập username đã có
2. Nhập password
3. Đăng ký</t>
  </si>
  <si>
    <t xml:space="preserve">user: kaiko_test</t>
  </si>
  <si>
    <t xml:space="preserve">Báo lỗi username đã tồn tại</t>
  </si>
  <si>
    <t xml:space="preserve">Báo trùng username</t>
  </si>
  <si>
    <t xml:space="preserve">TC-02-03</t>
  </si>
  <si>
    <t xml:space="preserve">Đăng ký với mật khẩu quá ngắn</t>
  </si>
  <si>
    <t xml:space="preserve">1. Nhập username mới
2. Nhập password 2 ký tự
3. Đăng ký</t>
  </si>
  <si>
    <t xml:space="preserve">pass: 12</t>
  </si>
  <si>
    <t xml:space="preserve">Cảnh báo mật khẩu không hợp lệ</t>
  </si>
  <si>
    <t xml:space="preserve">Chặn mật khẩu yếu</t>
  </si>
  <si>
    <t xml:space="preserve">TC-02-04</t>
  </si>
  <si>
    <t xml:space="preserve">Bỏ trống trường bắt buộc</t>
  </si>
  <si>
    <t xml:space="preserve">1. Để trống password
2. Nhấn Đăng ký</t>
  </si>
  <si>
    <t xml:space="preserve">password rỗng</t>
  </si>
  <si>
    <t xml:space="preserve">Báo trường bắt buộc, không tạo</t>
  </si>
  <si>
    <t xml:space="preserve">Không tạo tài khoản</t>
  </si>
  <si>
    <t xml:space="preserve">TC-02-05</t>
  </si>
  <si>
    <t xml:space="preserve">Đăng ký xong đăng nhập được</t>
  </si>
  <si>
    <t xml:space="preserve">Vừa đăng ký thành công</t>
  </si>
  <si>
    <t xml:space="preserve">1. Đăng xuất
2. Đăng nhập lại bằng tài khoản vừa tạo</t>
  </si>
  <si>
    <t xml:space="preserve">kaiko_new / New@123</t>
  </si>
  <si>
    <t xml:space="preserve">Đăng nhập thành công</t>
  </si>
  <si>
    <t xml:space="preserve">Đăng nhập được ngay</t>
  </si>
  <si>
    <t xml:space="preserve">Bảo</t>
  </si>
  <si>
    <t xml:space="preserve">TC-03-01</t>
  </si>
  <si>
    <t xml:space="preserve">UC03 – Tìm trận nhanh (Find-Match)</t>
  </si>
  <si>
    <t xml:space="preserve">Tìm trận Video ghép cặp cùng tier</t>
  </si>
  <si>
    <t xml:space="preserve">Đã đăng nhập; 2 người chơi cùng tier</t>
  </si>
  <si>
    <t xml:space="preserve">1. Chọn chế độ Video
2. Nhấn Tìm trận (cả 2 phiên)</t>
  </si>
  <si>
    <t xml:space="preserve">2 account cùng level</t>
  </si>
  <si>
    <t xml:space="preserve">Ghép cặp, vào phòng chờ ReadyCheck</t>
  </si>
  <si>
    <t xml:space="preserve">Ghép cặp thành công</t>
  </si>
  <si>
    <t xml:space="preserve">TC-03-02</t>
  </si>
  <si>
    <t xml:space="preserve">Tìm trận Text mode</t>
  </si>
  <si>
    <t xml:space="preserve">Đã đăng nhập; 2 người chơi</t>
  </si>
  <si>
    <t xml:space="preserve">1. Chọn chế độ Text
2. Nhấn Tìm trận (cả 2)</t>
  </si>
  <si>
    <t xml:space="preserve">text_1v1</t>
  </si>
  <si>
    <t xml:space="preserve">Ghép cặp chế độ text, phân phe ngẫu nhiên</t>
  </si>
  <si>
    <t xml:space="preserve">Ghép cặp text thành công</t>
  </si>
  <si>
    <t xml:space="preserve">TC-03-03</t>
  </si>
  <si>
    <t xml:space="preserve">Hủy tìm trận khi đang chờ</t>
  </si>
  <si>
    <t xml:space="preserve">Đang trong hàng chờ ghép cặp</t>
  </si>
  <si>
    <t xml:space="preserve">1. Nhấn Tìm trận
2. Nhấn Hủy</t>
  </si>
  <si>
    <t xml:space="preserve">—</t>
  </si>
  <si>
    <t xml:space="preserve">Thoát hàng chờ, về lobby</t>
  </si>
  <si>
    <t xml:space="preserve">Về lobby bình thường</t>
  </si>
  <si>
    <t xml:space="preserve">Thanh</t>
  </si>
  <si>
    <t xml:space="preserve">TC-03-04</t>
  </si>
  <si>
    <t xml:space="preserve">Không có đối thủ trong hàng chờ</t>
  </si>
  <si>
    <t xml:space="preserve">Chỉ 1 người tìm trận</t>
  </si>
  <si>
    <t xml:space="preserve">1. Nhấn Tìm trận
2. Chờ</t>
  </si>
  <si>
    <t xml:space="preserve">1 account</t>
  </si>
  <si>
    <t xml:space="preserve">Hiển thị trạng thái đang chờ, không lỗi</t>
  </si>
  <si>
    <t xml:space="preserve">Hiển thị đang tìm đối thủ</t>
  </si>
  <si>
    <t xml:space="preserve">TC-03-05</t>
  </si>
  <si>
    <t xml:space="preserve">Mất kết nối WebSocket khi đang chờ ghép</t>
  </si>
  <si>
    <t xml:space="preserve">Đang chờ ghép; mạng yếu</t>
  </si>
  <si>
    <t xml:space="preserve">1. Nhấn Tìm trận
2. Ngắt mạng tạm thời</t>
  </si>
  <si>
    <t xml:space="preserve">mạng chập chờn</t>
  </si>
  <si>
    <t xml:space="preserve">Hệ thống báo mất kết nối &amp; cho thử lại</t>
  </si>
  <si>
    <t xml:space="preserve">Treo ở màn hình chờ, không xử lý timeout</t>
  </si>
  <si>
    <t xml:space="preserve">Fail</t>
  </si>
  <si>
    <t xml:space="preserve">DEF-03</t>
  </si>
  <si>
    <t xml:space="preserve">TC-04-01</t>
  </si>
  <si>
    <t xml:space="preserve">UC04 – Tranh biện Video 1v1 (Video Debate)</t>
  </si>
  <si>
    <t xml:space="preserve">Hiển thị video 2 bên khi vào phòng</t>
  </si>
  <si>
    <t xml:space="preserve">Đã ghép cặp; cấp quyền camera/mic</t>
  </si>
  <si>
    <t xml:space="preserve">1. Vào phòng
2. Quan sát ô video 2 người</t>
  </si>
  <si>
    <t xml:space="preserve">2 máy có webcam</t>
  </si>
  <si>
    <t xml:space="preserve">Thấy video của cả 2 người chơi</t>
  </si>
  <si>
    <t xml:space="preserve">Đôi khi video đối thủ chưa hiện do stream attach trễ</t>
  </si>
  <si>
    <t xml:space="preserve">DEF-01</t>
  </si>
  <si>
    <t xml:space="preserve">TC-04-02</t>
  </si>
  <si>
    <t xml:space="preserve">Speech-to-text tiếng Việt</t>
  </si>
  <si>
    <t xml:space="preserve">Trong phòng debate, mic bật</t>
  </si>
  <si>
    <t xml:space="preserve">1. Nói 1 câu tiếng Việt
2. Xem transcript</t>
  </si>
  <si>
    <t xml:space="preserve">Giọng nói tiếng Việt</t>
  </si>
  <si>
    <t xml:space="preserve">Sinh transcript tiếng Việt đúng</t>
  </si>
  <si>
    <t xml:space="preserve">Không nhận tiếng Việt khi locale browser khác vi-VN</t>
  </si>
  <si>
    <t xml:space="preserve">DEF-02</t>
  </si>
  <si>
    <t xml:space="preserve">TC-04-03</t>
  </si>
  <si>
    <t xml:space="preserve">Từ chối quyền camera/mic</t>
  </si>
  <si>
    <t xml:space="preserve">Vào phòng video</t>
  </si>
  <si>
    <t xml:space="preserve">1. Vào phòng
2. Chọn 'Chặn' quyền camera/mic</t>
  </si>
  <si>
    <t xml:space="preserve">deny permission</t>
  </si>
  <si>
    <t xml:space="preserve">Báo lỗi, chế độ video không chạy</t>
  </si>
  <si>
    <t xml:space="preserve">Thông báo cần cấp quyền</t>
  </si>
  <si>
    <t xml:space="preserve">TC-04-04</t>
  </si>
  <si>
    <t xml:space="preserve">Bật/tắt mic và camera</t>
  </si>
  <si>
    <t xml:space="preserve">Đang trong phòng</t>
  </si>
  <si>
    <t xml:space="preserve">1. Nhấn nút tắt mic
2. Nhấn tắt camera</t>
  </si>
  <si>
    <t xml:space="preserve">Mic/camera bật tắt đúng trạng thái</t>
  </si>
  <si>
    <t xml:space="preserve">Controls hoạt động đúng</t>
  </si>
  <si>
    <t xml:space="preserve">TC-04-05</t>
  </si>
  <si>
    <t xml:space="preserve">Chạy Video Debate trên Firefox</t>
  </si>
  <si>
    <t xml:space="preserve">Mở app bằng Firefox</t>
  </si>
  <si>
    <t xml:space="preserve">1. Vào phòng video trên Firefox
2. Thử nói</t>
  </si>
  <si>
    <t xml:space="preserve">Firefox browser</t>
  </si>
  <si>
    <t xml:space="preserve">Cảnh báo trình duyệt không hỗ trợ</t>
  </si>
  <si>
    <t xml:space="preserve">Speech API không chạy trên Firefox</t>
  </si>
  <si>
    <t xml:space="preserve">DEF-04</t>
  </si>
  <si>
    <t xml:space="preserve">TC-05-01</t>
  </si>
  <si>
    <t xml:space="preserve">UC05 – Nhận cảnh báo ngụy biện (Fallacy Alert)</t>
  </si>
  <si>
    <t xml:space="preserve">Phát hiện ngụy biện ad hominem</t>
  </si>
  <si>
    <t xml:space="preserve">Đang trong trận, có transcript</t>
  </si>
  <si>
    <t xml:space="preserve">1. Nói câu công kích cá nhân
2. Chờ phân tích</t>
  </si>
  <si>
    <t xml:space="preserve">'Anh dốt nên lập luận sai'</t>
  </si>
  <si>
    <t xml:space="preserve">Hiện pop-up FallacyAlert 'Công kích cá nhân'</t>
  </si>
  <si>
    <t xml:space="preserve">Hiện cảnh báo đúng loại</t>
  </si>
  <si>
    <t xml:space="preserve">TC-05-02</t>
  </si>
  <si>
    <t xml:space="preserve">Câu quá ngắn (&lt;10 ký tự) bị bỏ qua</t>
  </si>
  <si>
    <t xml:space="preserve">Đang trong trận</t>
  </si>
  <si>
    <t xml:space="preserve">1. Nói/gõ 1 câu rất ngắn</t>
  </si>
  <si>
    <t xml:space="preserve">'Ừ'</t>
  </si>
  <si>
    <t xml:space="preserve">Không phân tích, không cảnh báo</t>
  </si>
  <si>
    <t xml:space="preserve">Bỏ qua đúng</t>
  </si>
  <si>
    <t xml:space="preserve">TC-05-03</t>
  </si>
  <si>
    <t xml:space="preserve">Câu không ngụy biện</t>
  </si>
  <si>
    <t xml:space="preserve">1. Nói câu lập luận hợp lệ</t>
  </si>
  <si>
    <t xml:space="preserve">câu hợp lý</t>
  </si>
  <si>
    <t xml:space="preserve">Không hiển thị cảnh báo ngụy biện</t>
  </si>
  <si>
    <t xml:space="preserve">Không cảnh báo</t>
  </si>
  <si>
    <t xml:space="preserve">TC-05-04</t>
  </si>
  <si>
    <t xml:space="preserve">Fallback Gemini khi AI service offline</t>
  </si>
  <si>
    <t xml:space="preserve">AI_SERVICE_URL không cấu hình</t>
  </si>
  <si>
    <t xml:space="preserve">1. Nói câu ngụy biện
2. Chờ kết quả</t>
  </si>
  <si>
    <t xml:space="preserve">service offline</t>
  </si>
  <si>
    <t xml:space="preserve">Backend fallback Gemini vẫn trả kết quả</t>
  </si>
  <si>
    <t xml:space="preserve">Fallback Gemini hoạt động</t>
  </si>
  <si>
    <t xml:space="preserve">TC-05-05</t>
  </si>
  <si>
    <t xml:space="preserve">Hiển thị nhãn tiếng Việt</t>
  </si>
  <si>
    <t xml:space="preserve">Có cảnh báo ngụy biện</t>
  </si>
  <si>
    <t xml:space="preserve">1. Gây một ngụy biện
2. Xem nhãn hiển thị</t>
  </si>
  <si>
    <t xml:space="preserve">Nhãn hiển thị tiếng Việt (LABEL_VI)</t>
  </si>
  <si>
    <t xml:space="preserve">Nhãn tiếng Việt đúng</t>
  </si>
  <si>
    <t xml:space="preserve">TC-06-01</t>
  </si>
  <si>
    <t xml:space="preserve">UC06 – Xem Scoreboard &amp; phân tích sau trận</t>
  </si>
  <si>
    <t xml:space="preserve">Hiển thị Scoreboard cuối trận</t>
  </si>
  <si>
    <t xml:space="preserve">Trận vừa kết thúc</t>
  </si>
  <si>
    <t xml:space="preserve">1. Kết thúc trận
2. Xem Scoreboard</t>
  </si>
  <si>
    <t xml:space="preserve">Hiện điểm tổng của 2 người chơi</t>
  </si>
  <si>
    <t xml:space="preserve">Scoreboard hiển thị điểm</t>
  </si>
  <si>
    <t xml:space="preserve">TC-06-02</t>
  </si>
  <si>
    <t xml:space="preserve">Nhận xét chi tiết từng tiêu chí</t>
  </si>
  <si>
    <t xml:space="preserve">Ở màn Scoreboard</t>
  </si>
  <si>
    <t xml:space="preserve">1. Xem phần nhận xét AI</t>
  </si>
  <si>
    <t xml:space="preserve">Có nhận xét cho logic/dẫn chứng/diễn đạt</t>
  </si>
  <si>
    <t xml:space="preserve">Có nhận xét chi tiết</t>
  </si>
  <si>
    <t xml:space="preserve">TC-06-03</t>
  </si>
  <si>
    <t xml:space="preserve">Tuyên bố người thắng đúng điểm</t>
  </si>
  <si>
    <t xml:space="preserve">1. So điểm 2 bên
2. Xem người thắng</t>
  </si>
  <si>
    <t xml:space="preserve">Người điểm cao hơn được tuyên thắng</t>
  </si>
  <si>
    <t xml:space="preserve">Người thắng đúng</t>
  </si>
  <si>
    <t xml:space="preserve">TC-06-04</t>
  </si>
  <si>
    <t xml:space="preserve">Lưu kết quả vào lịch sử</t>
  </si>
  <si>
    <t xml:space="preserve">Trận kết thúc, đã đăng nhập</t>
  </si>
  <si>
    <t xml:space="preserve">1. Kết thúc trận
2. Mở lịch sử ở Dashboard</t>
  </si>
  <si>
    <t xml:space="preserve">Trận mới xuất hiện trong lịch sử (PostgreSQL)</t>
  </si>
  <si>
    <t xml:space="preserve">Lưu lịch sử thành công</t>
  </si>
  <si>
    <t xml:space="preserve">TC-06-05</t>
  </si>
  <si>
    <t xml:space="preserve">Chấm điểm khi Gemini bị rate limit</t>
  </si>
  <si>
    <t xml:space="preserve">Nhiều trận đồng thời, quota thấp</t>
  </si>
  <si>
    <t xml:space="preserve">1. Kết thúc nhiều trận cùng lúc</t>
  </si>
  <si>
    <t xml:space="preserve">free-tier quota</t>
  </si>
  <si>
    <t xml:space="preserve">Vẫn chấm điểm hoặc báo lỗi rõ ràng</t>
  </si>
  <si>
    <t xml:space="preserve">Chấm điểm lỗi/không hiện khi bị rate limit</t>
  </si>
  <si>
    <t xml:space="preserve">DEF-05</t>
  </si>
  <si>
    <t xml:space="preserve">TC-07-01</t>
  </si>
  <si>
    <t xml:space="preserve">UC07 – Luyện tập với AI (Solo Mode)</t>
  </si>
  <si>
    <t xml:space="preserve">Bắt đầu Solo vs AI (text)</t>
  </si>
  <si>
    <t xml:space="preserve">Đã đăng nhập</t>
  </si>
  <si>
    <t xml:space="preserve">1. Chọn Solo Mode
2. Bắt đầu trận với AI</t>
  </si>
  <si>
    <t xml:space="preserve">Vào phòng tranh biện với Gemini</t>
  </si>
  <si>
    <t xml:space="preserve">Vào trận Solo thành công</t>
  </si>
  <si>
    <t xml:space="preserve">TC-07-02</t>
  </si>
  <si>
    <t xml:space="preserve">AI phản hồi và phân tích inline</t>
  </si>
  <si>
    <t xml:space="preserve">Đang trong trận Solo</t>
  </si>
  <si>
    <t xml:space="preserve">1. Gõ 1 lập luận
2. Gửi</t>
  </si>
  <si>
    <t xml:space="preserve">'Tôi cho rằng...'</t>
  </si>
  <si>
    <t xml:space="preserve">AI phản hồi + phân tích ngụy biện lượt đó</t>
  </si>
  <si>
    <t xml:space="preserve">AI phản hồi + phân tích</t>
  </si>
  <si>
    <t xml:space="preserve">TC-07-03</t>
  </si>
  <si>
    <t xml:space="preserve">Tự kết thúc khi hết thời gian</t>
  </si>
  <si>
    <t xml:space="preserve">Đang trong trận Solo/Text</t>
  </si>
  <si>
    <t xml:space="preserve">1. Chờ hết 30 phút</t>
  </si>
  <si>
    <t xml:space="preserve">timer 30'</t>
  </si>
  <si>
    <t xml:space="preserve">Trận tự kết thúc và chấm điểm</t>
  </si>
  <si>
    <t xml:space="preserve">Tự kết thúc &amp; chấm điểm</t>
  </si>
  <si>
    <t xml:space="preserve">TC-07-04</t>
  </si>
  <si>
    <t xml:space="preserve">Sinh chủ đề ngẫu nhiên</t>
  </si>
  <si>
    <t xml:space="preserve">Bắt đầu trận mới</t>
  </si>
  <si>
    <t xml:space="preserve">1. Bắt đầu Solo Mode</t>
  </si>
  <si>
    <t xml:space="preserve">Hệ thống sinh random topic hợp lệ</t>
  </si>
  <si>
    <t xml:space="preserve">Có chủ đề ngẫu nhiên</t>
  </si>
  <si>
    <t xml:space="preserve">TC-07-05</t>
  </si>
  <si>
    <t xml:space="preserve">Phát hiện nội dung copy từ AI</t>
  </si>
  <si>
    <t xml:space="preserve">Đang trong trận text</t>
  </si>
  <si>
    <t xml:space="preserve">1. Dán 1 đoạn văn kiểu ChatGPT
2. Gửi</t>
  </si>
  <si>
    <t xml:space="preserve">đoạn văn AI</t>
  </si>
  <si>
    <t xml:space="preserve">Cảnh báo is_ai_generated</t>
  </si>
  <si>
    <t xml:space="preserve">Cảnh báo nội dung AI</t>
  </si>
  <si>
    <t xml:space="preserve">TC-08-01</t>
  </si>
  <si>
    <t xml:space="preserve">UC08 – Xem lịch sử trận &amp; ELO</t>
  </si>
  <si>
    <t xml:space="preserve">Xem lịch sử trận trong Dashboard</t>
  </si>
  <si>
    <t xml:space="preserve">Đã đăng nhập, có ≥1 trận</t>
  </si>
  <si>
    <t xml:space="preserve">1. Mở Dashboard
2. Vào tab Lịch sử</t>
  </si>
  <si>
    <t xml:space="preserve">Danh sách các trận đã chơi hiển thị</t>
  </si>
  <si>
    <t xml:space="preserve">Lịch sử hiển thị đúng</t>
  </si>
  <si>
    <t xml:space="preserve">TC-08-02</t>
  </si>
  <si>
    <t xml:space="preserve">Bảng xếp hạng leaderboard</t>
  </si>
  <si>
    <t xml:space="preserve">1. Mở tab Bảng xếp hạng</t>
  </si>
  <si>
    <t xml:space="preserve">Leaderboard hiển thị theo điểm/ELO</t>
  </si>
  <si>
    <t xml:space="preserve">Leaderboard đúng thứ hạng</t>
  </si>
  <si>
    <t xml:space="preserve">TC-08-03</t>
  </si>
  <si>
    <t xml:space="preserve">ELO cập nhật sau trận</t>
  </si>
  <si>
    <t xml:space="preserve">Vừa kết thúc 1 trận</t>
  </si>
  <si>
    <t xml:space="preserve">1. Ghi điểm ELO trước
2. Chơi 1 trận
3. Xem lại ELO</t>
  </si>
  <si>
    <t xml:space="preserve">ELO/điểm được cập nhật</t>
  </si>
  <si>
    <t xml:space="preserve">TC-08-04</t>
  </si>
  <si>
    <t xml:space="preserve">Người chơi mới chưa có trận</t>
  </si>
  <si>
    <t xml:space="preserve">Tài khoản mới đăng ký</t>
  </si>
  <si>
    <t xml:space="preserve">1. Đăng nhập tài khoản mới
2. Mở Lịch sử</t>
  </si>
  <si>
    <t xml:space="preserve">account mới</t>
  </si>
  <si>
    <t xml:space="preserve">Lịch sử trống, không lỗi</t>
  </si>
  <si>
    <t xml:space="preserve">Hiển thị trống, không lỗi</t>
  </si>
  <si>
    <t xml:space="preserve">TC-08-05</t>
  </si>
  <si>
    <t xml:space="preserve">Xem chi tiết một trận</t>
  </si>
  <si>
    <t xml:space="preserve">Có trận trong lịch sử</t>
  </si>
  <si>
    <t xml:space="preserve">1. Nhấn vào 1 trận
2. Xem chi tiết</t>
  </si>
  <si>
    <t xml:space="preserve">Hiện transcript, điểm, ngụy biện của trận</t>
  </si>
  <si>
    <t xml:space="preserve">Xem chi tiết trận đúng</t>
  </si>
  <si>
    <t xml:space="preserve">Test Summary Report – KaiKo (PA4)</t>
  </si>
  <si>
    <t xml:space="preserve">Use Case Name</t>
  </si>
  <si>
    <t xml:space="preserve"># Test Cases</t>
  </si>
  <si>
    <t xml:space="preserve"># Passed</t>
  </si>
  <si>
    <t xml:space="preserve"># Failed</t>
  </si>
  <si>
    <t xml:space="preserve">Pass Rate</t>
  </si>
  <si>
    <t xml:space="preserve">UC01</t>
  </si>
  <si>
    <t xml:space="preserve">Đăng nhập (Login)</t>
  </si>
  <si>
    <t xml:space="preserve">UC02</t>
  </si>
  <si>
    <t xml:space="preserve">Đăng ký tài khoản (Register)</t>
  </si>
  <si>
    <t xml:space="preserve">UC03</t>
  </si>
  <si>
    <t xml:space="preserve">Tìm trận nhanh (Find-Match)</t>
  </si>
  <si>
    <t xml:space="preserve">UC04</t>
  </si>
  <si>
    <t xml:space="preserve">Tranh biện Video 1v1</t>
  </si>
  <si>
    <t xml:space="preserve">UC05</t>
  </si>
  <si>
    <t xml:space="preserve">Nhận cảnh báo ngụy biện</t>
  </si>
  <si>
    <t xml:space="preserve">UC06</t>
  </si>
  <si>
    <t xml:space="preserve">Scoreboard &amp; phân tích</t>
  </si>
  <si>
    <t xml:space="preserve">UC07</t>
  </si>
  <si>
    <t xml:space="preserve">Luyện tập với AI (Solo)</t>
  </si>
  <si>
    <t xml:space="preserve">UC08</t>
  </si>
  <si>
    <t xml:space="preserve">Lịch sử trận &amp; ELO</t>
  </si>
  <si>
    <t xml:space="preserve">TỔNG</t>
  </si>
  <si>
    <t xml:space="preserve">Tất cả use-case</t>
  </si>
  <si>
    <t xml:space="preserve">Số use-case được test:</t>
  </si>
  <si>
    <t xml:space="preserve">Ghi chú:</t>
  </si>
  <si>
    <t xml:space="preserve">Mỗi test case Fail đều có Defect liên kết ở sheet 'Defects'.</t>
  </si>
  <si>
    <t xml:space="preserve">Linked Test Case</t>
  </si>
  <si>
    <t xml:space="preserve">Description</t>
  </si>
  <si>
    <t xml:space="preserve">Severity</t>
  </si>
  <si>
    <t xml:space="preserve">Priority</t>
  </si>
  <si>
    <t xml:space="preserve">Suggested Fix</t>
  </si>
  <si>
    <t xml:space="preserve">Video P2P của đối thủ đôi khi chưa attach vào thẻ &lt;video&gt; kịp khi vừa vào phòng</t>
  </si>
  <si>
    <t xml:space="preserve">Major</t>
  </si>
  <si>
    <t xml:space="preserve">High</t>
  </si>
  <si>
    <t xml:space="preserve">Open</t>
  </si>
  <si>
    <t xml:space="preserve">Đợi 'ontrack' rồi mới gán srcObject; thêm retry attach stream</t>
  </si>
  <si>
    <t xml:space="preserve">Speech-to-text không nhận tiếng Việt khi locale trình duyệt khác vi-VN</t>
  </si>
  <si>
    <t xml:space="preserve">Set recognition.lang='vi-VN' cố định thay vì theo locale browser</t>
  </si>
  <si>
    <t xml:space="preserve">Không xử lý timeout khi mất kết nối WebSocket lúc chờ ghép cặp</t>
  </si>
  <si>
    <t xml:space="preserve">Medium</t>
  </si>
  <si>
    <t xml:space="preserve">Thêm heartbeat/timeout + tự động thử ghép lại và thông báo cho người dùng</t>
  </si>
  <si>
    <t xml:space="preserve">Firefox không hỗ trợ Web Speech API → chế độ giọng nói không chạy</t>
  </si>
  <si>
    <t xml:space="preserve">Low</t>
  </si>
  <si>
    <t xml:space="preserve">Phát hiện trình duyệt, cảnh báo &amp; gợi ý dùng Chrome/Edge (giới hạn đã biết)</t>
  </si>
  <si>
    <t xml:space="preserve">Gemini free-tier bị rate limit khi nhiều trận chấm điểm đồng thời</t>
  </si>
  <si>
    <t xml:space="preserve">Thêm hàng đợi/retry với backoff; cache; nâng quota API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</si>
</sst>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9.5"/>
      <color rgb="FF1E7D34"/>
      <name val="Arial"/>
      <family val="0"/>
      <charset val="1"/>
    </font>
    <font>
      <b val="true"/>
      <sz val="9.5"/>
      <color rgb="FFB00020"/>
      <name val="Arial"/>
      <family val="0"/>
      <charset val="1"/>
    </font>
    <font>
      <b val="true"/>
      <sz val="13"/>
      <color rgb="FF1F3A6E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9.5"/>
      <color rgb="FF9A6B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6E"/>
        <bgColor rgb="FF333399"/>
      </patternFill>
    </fill>
    <fill>
      <patternFill patternType="solid">
        <fgColor rgb="FFEEF2F8"/>
        <bgColor rgb="FFFFFFFF"/>
      </patternFill>
    </fill>
    <fill>
      <patternFill patternType="solid">
        <fgColor rgb="FFD6E0F0"/>
        <bgColor rgb="FFEE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6E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7D34"/>
          <bgColor rgb="FF000000"/>
        </patternFill>
      </fill>
    </dxf>
    <dxf>
      <fill>
        <patternFill patternType="solid">
          <fgColor rgb="FFB000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E7D34"/>
      <rgbColor rgb="FF000080"/>
      <rgbColor rgb="FF9A6B00"/>
      <rgbColor rgb="FF800080"/>
      <rgbColor rgb="FF008080"/>
      <rgbColor rgb="FFB0B7C3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2"/>
      <c r="K2" s="2" t="s">
        <v>20</v>
      </c>
    </row>
    <row r="3" customFormat="false" ht="35.05" hidden="false" customHeight="false" outlineLevel="0" collapsed="false">
      <c r="A3" s="5" t="s">
        <v>21</v>
      </c>
      <c r="B3" s="6" t="s">
        <v>12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7" t="s">
        <v>19</v>
      </c>
      <c r="J3" s="5"/>
      <c r="K3" s="5" t="s">
        <v>20</v>
      </c>
    </row>
    <row r="4" customFormat="false" ht="35.05" hidden="false" customHeight="false" outlineLevel="0" collapsed="false">
      <c r="A4" s="2" t="s">
        <v>28</v>
      </c>
      <c r="B4" s="3" t="s">
        <v>12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4" t="s">
        <v>19</v>
      </c>
      <c r="J4" s="2"/>
      <c r="K4" s="2" t="s">
        <v>20</v>
      </c>
    </row>
    <row r="5" customFormat="false" ht="23.85" hidden="false" customHeight="false" outlineLevel="0" collapsed="false">
      <c r="A5" s="5" t="s">
        <v>35</v>
      </c>
      <c r="B5" s="6" t="s">
        <v>12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7" t="s">
        <v>19</v>
      </c>
      <c r="J5" s="5"/>
      <c r="K5" s="5" t="s">
        <v>42</v>
      </c>
    </row>
    <row r="6" customFormat="false" ht="35.05" hidden="false" customHeight="false" outlineLevel="0" collapsed="false">
      <c r="A6" s="2" t="s">
        <v>43</v>
      </c>
      <c r="B6" s="3" t="s">
        <v>12</v>
      </c>
      <c r="C6" s="3" t="s">
        <v>44</v>
      </c>
      <c r="D6" s="3" t="s">
        <v>30</v>
      </c>
      <c r="E6" s="3" t="s">
        <v>45</v>
      </c>
      <c r="F6" s="3" t="s">
        <v>46</v>
      </c>
      <c r="G6" s="3" t="s">
        <v>47</v>
      </c>
      <c r="H6" s="3" t="s">
        <v>48</v>
      </c>
      <c r="I6" s="4" t="s">
        <v>19</v>
      </c>
      <c r="J6" s="2"/>
      <c r="K6" s="2" t="s">
        <v>42</v>
      </c>
    </row>
    <row r="7" customFormat="false" ht="35.05" hidden="false" customHeight="false" outlineLevel="0" collapsed="false">
      <c r="A7" s="5" t="s">
        <v>49</v>
      </c>
      <c r="B7" s="6" t="s">
        <v>50</v>
      </c>
      <c r="C7" s="6" t="s">
        <v>51</v>
      </c>
      <c r="D7" s="6" t="s">
        <v>52</v>
      </c>
      <c r="E7" s="6" t="s">
        <v>53</v>
      </c>
      <c r="F7" s="6" t="s">
        <v>54</v>
      </c>
      <c r="G7" s="6" t="s">
        <v>55</v>
      </c>
      <c r="H7" s="6" t="s">
        <v>55</v>
      </c>
      <c r="I7" s="7" t="s">
        <v>19</v>
      </c>
      <c r="J7" s="5"/>
      <c r="K7" s="5" t="s">
        <v>20</v>
      </c>
    </row>
    <row r="8" customFormat="false" ht="35.05" hidden="false" customHeight="false" outlineLevel="0" collapsed="false">
      <c r="A8" s="2" t="s">
        <v>56</v>
      </c>
      <c r="B8" s="3" t="s">
        <v>50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 t="s">
        <v>19</v>
      </c>
      <c r="J8" s="2"/>
      <c r="K8" s="2" t="s">
        <v>20</v>
      </c>
    </row>
    <row r="9" customFormat="false" ht="35.05" hidden="false" customHeight="false" outlineLevel="0" collapsed="false">
      <c r="A9" s="5" t="s">
        <v>63</v>
      </c>
      <c r="B9" s="6" t="s">
        <v>50</v>
      </c>
      <c r="C9" s="6" t="s">
        <v>64</v>
      </c>
      <c r="D9" s="6" t="s">
        <v>52</v>
      </c>
      <c r="E9" s="6" t="s">
        <v>65</v>
      </c>
      <c r="F9" s="6" t="s">
        <v>66</v>
      </c>
      <c r="G9" s="6" t="s">
        <v>67</v>
      </c>
      <c r="H9" s="6" t="s">
        <v>68</v>
      </c>
      <c r="I9" s="7" t="s">
        <v>19</v>
      </c>
      <c r="J9" s="5"/>
      <c r="K9" s="5" t="s">
        <v>42</v>
      </c>
    </row>
    <row r="10" customFormat="false" ht="23.85" hidden="false" customHeight="false" outlineLevel="0" collapsed="false">
      <c r="A10" s="2" t="s">
        <v>69</v>
      </c>
      <c r="B10" s="3" t="s">
        <v>50</v>
      </c>
      <c r="C10" s="3" t="s">
        <v>70</v>
      </c>
      <c r="D10" s="3" t="s">
        <v>52</v>
      </c>
      <c r="E10" s="3" t="s">
        <v>71</v>
      </c>
      <c r="F10" s="3" t="s">
        <v>72</v>
      </c>
      <c r="G10" s="3" t="s">
        <v>73</v>
      </c>
      <c r="H10" s="3" t="s">
        <v>74</v>
      </c>
      <c r="I10" s="4" t="s">
        <v>19</v>
      </c>
      <c r="J10" s="2"/>
      <c r="K10" s="2" t="s">
        <v>42</v>
      </c>
    </row>
    <row r="11" customFormat="false" ht="23.85" hidden="false" customHeight="false" outlineLevel="0" collapsed="false">
      <c r="A11" s="5" t="s">
        <v>75</v>
      </c>
      <c r="B11" s="6" t="s">
        <v>50</v>
      </c>
      <c r="C11" s="6" t="s">
        <v>76</v>
      </c>
      <c r="D11" s="6" t="s">
        <v>77</v>
      </c>
      <c r="E11" s="6" t="s">
        <v>78</v>
      </c>
      <c r="F11" s="6" t="s">
        <v>79</v>
      </c>
      <c r="G11" s="6" t="s">
        <v>80</v>
      </c>
      <c r="H11" s="6" t="s">
        <v>81</v>
      </c>
      <c r="I11" s="7" t="s">
        <v>19</v>
      </c>
      <c r="J11" s="5"/>
      <c r="K11" s="5" t="s">
        <v>82</v>
      </c>
    </row>
    <row r="12" customFormat="false" ht="23.85" hidden="false" customHeight="false" outlineLevel="0" collapsed="false">
      <c r="A12" s="2" t="s">
        <v>83</v>
      </c>
      <c r="B12" s="3" t="s">
        <v>84</v>
      </c>
      <c r="C12" s="3" t="s">
        <v>85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90</v>
      </c>
      <c r="I12" s="4" t="s">
        <v>19</v>
      </c>
      <c r="J12" s="2"/>
      <c r="K12" s="2" t="s">
        <v>82</v>
      </c>
    </row>
    <row r="13" customFormat="false" ht="23.85" hidden="false" customHeight="false" outlineLevel="0" collapsed="false">
      <c r="A13" s="5" t="s">
        <v>91</v>
      </c>
      <c r="B13" s="6" t="s">
        <v>84</v>
      </c>
      <c r="C13" s="6" t="s">
        <v>92</v>
      </c>
      <c r="D13" s="6" t="s">
        <v>93</v>
      </c>
      <c r="E13" s="6" t="s">
        <v>94</v>
      </c>
      <c r="F13" s="6" t="s">
        <v>95</v>
      </c>
      <c r="G13" s="6" t="s">
        <v>96</v>
      </c>
      <c r="H13" s="6" t="s">
        <v>97</v>
      </c>
      <c r="I13" s="7" t="s">
        <v>19</v>
      </c>
      <c r="J13" s="5"/>
      <c r="K13" s="5" t="s">
        <v>82</v>
      </c>
    </row>
    <row r="14" customFormat="false" ht="23.85" hidden="false" customHeight="false" outlineLevel="0" collapsed="false">
      <c r="A14" s="2" t="s">
        <v>98</v>
      </c>
      <c r="B14" s="3" t="s">
        <v>84</v>
      </c>
      <c r="C14" s="3" t="s">
        <v>99</v>
      </c>
      <c r="D14" s="3" t="s">
        <v>100</v>
      </c>
      <c r="E14" s="3" t="s">
        <v>101</v>
      </c>
      <c r="F14" s="3" t="s">
        <v>102</v>
      </c>
      <c r="G14" s="3" t="s">
        <v>103</v>
      </c>
      <c r="H14" s="3" t="s">
        <v>104</v>
      </c>
      <c r="I14" s="4" t="s">
        <v>19</v>
      </c>
      <c r="J14" s="2"/>
      <c r="K14" s="2" t="s">
        <v>105</v>
      </c>
    </row>
    <row r="15" customFormat="false" ht="23.85" hidden="false" customHeight="false" outlineLevel="0" collapsed="false">
      <c r="A15" s="5" t="s">
        <v>106</v>
      </c>
      <c r="B15" s="6" t="s">
        <v>84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7" t="s">
        <v>19</v>
      </c>
      <c r="J15" s="5"/>
      <c r="K15" s="5" t="s">
        <v>105</v>
      </c>
    </row>
    <row r="16" customFormat="false" ht="23.85" hidden="false" customHeight="false" outlineLevel="0" collapsed="false">
      <c r="A16" s="2" t="s">
        <v>113</v>
      </c>
      <c r="B16" s="3" t="s">
        <v>84</v>
      </c>
      <c r="C16" s="3" t="s">
        <v>114</v>
      </c>
      <c r="D16" s="3" t="s">
        <v>115</v>
      </c>
      <c r="E16" s="3" t="s">
        <v>116</v>
      </c>
      <c r="F16" s="3" t="s">
        <v>117</v>
      </c>
      <c r="G16" s="3" t="s">
        <v>118</v>
      </c>
      <c r="H16" s="3" t="s">
        <v>119</v>
      </c>
      <c r="I16" s="8" t="s">
        <v>120</v>
      </c>
      <c r="J16" s="2" t="s">
        <v>121</v>
      </c>
      <c r="K16" s="2" t="s">
        <v>105</v>
      </c>
    </row>
    <row r="17" customFormat="false" ht="23.85" hidden="false" customHeight="false" outlineLevel="0" collapsed="false">
      <c r="A17" s="5" t="s">
        <v>122</v>
      </c>
      <c r="B17" s="6" t="s">
        <v>123</v>
      </c>
      <c r="C17" s="6" t="s">
        <v>124</v>
      </c>
      <c r="D17" s="6" t="s">
        <v>125</v>
      </c>
      <c r="E17" s="6" t="s">
        <v>126</v>
      </c>
      <c r="F17" s="6" t="s">
        <v>127</v>
      </c>
      <c r="G17" s="6" t="s">
        <v>128</v>
      </c>
      <c r="H17" s="6" t="s">
        <v>129</v>
      </c>
      <c r="I17" s="9" t="s">
        <v>120</v>
      </c>
      <c r="J17" s="5" t="s">
        <v>130</v>
      </c>
      <c r="K17" s="5" t="s">
        <v>20</v>
      </c>
    </row>
    <row r="18" customFormat="false" ht="23.85" hidden="false" customHeight="false" outlineLevel="0" collapsed="false">
      <c r="A18" s="2" t="s">
        <v>131</v>
      </c>
      <c r="B18" s="3" t="s">
        <v>123</v>
      </c>
      <c r="C18" s="3" t="s">
        <v>132</v>
      </c>
      <c r="D18" s="3" t="s">
        <v>133</v>
      </c>
      <c r="E18" s="3" t="s">
        <v>134</v>
      </c>
      <c r="F18" s="3" t="s">
        <v>135</v>
      </c>
      <c r="G18" s="3" t="s">
        <v>136</v>
      </c>
      <c r="H18" s="3" t="s">
        <v>137</v>
      </c>
      <c r="I18" s="8" t="s">
        <v>120</v>
      </c>
      <c r="J18" s="2" t="s">
        <v>138</v>
      </c>
      <c r="K18" s="2" t="s">
        <v>20</v>
      </c>
    </row>
    <row r="19" customFormat="false" ht="23.85" hidden="false" customHeight="false" outlineLevel="0" collapsed="false">
      <c r="A19" s="5" t="s">
        <v>139</v>
      </c>
      <c r="B19" s="6" t="s">
        <v>123</v>
      </c>
      <c r="C19" s="6" t="s">
        <v>140</v>
      </c>
      <c r="D19" s="6" t="s">
        <v>141</v>
      </c>
      <c r="E19" s="6" t="s">
        <v>142</v>
      </c>
      <c r="F19" s="6" t="s">
        <v>143</v>
      </c>
      <c r="G19" s="6" t="s">
        <v>144</v>
      </c>
      <c r="H19" s="6" t="s">
        <v>145</v>
      </c>
      <c r="I19" s="7" t="s">
        <v>19</v>
      </c>
      <c r="J19" s="5"/>
      <c r="K19" s="5" t="s">
        <v>42</v>
      </c>
    </row>
    <row r="20" customFormat="false" ht="23.85" hidden="false" customHeight="false" outlineLevel="0" collapsed="false">
      <c r="A20" s="2" t="s">
        <v>146</v>
      </c>
      <c r="B20" s="3" t="s">
        <v>123</v>
      </c>
      <c r="C20" s="3" t="s">
        <v>147</v>
      </c>
      <c r="D20" s="3" t="s">
        <v>148</v>
      </c>
      <c r="E20" s="3" t="s">
        <v>149</v>
      </c>
      <c r="F20" s="3" t="s">
        <v>102</v>
      </c>
      <c r="G20" s="3" t="s">
        <v>150</v>
      </c>
      <c r="H20" s="3" t="s">
        <v>151</v>
      </c>
      <c r="I20" s="4" t="s">
        <v>19</v>
      </c>
      <c r="J20" s="2"/>
      <c r="K20" s="2" t="s">
        <v>42</v>
      </c>
    </row>
    <row r="21" customFormat="false" ht="23.85" hidden="false" customHeight="false" outlineLevel="0" collapsed="false">
      <c r="A21" s="5" t="s">
        <v>152</v>
      </c>
      <c r="B21" s="6" t="s">
        <v>123</v>
      </c>
      <c r="C21" s="6" t="s">
        <v>153</v>
      </c>
      <c r="D21" s="6" t="s">
        <v>154</v>
      </c>
      <c r="E21" s="6" t="s">
        <v>155</v>
      </c>
      <c r="F21" s="6" t="s">
        <v>156</v>
      </c>
      <c r="G21" s="6" t="s">
        <v>157</v>
      </c>
      <c r="H21" s="6" t="s">
        <v>158</v>
      </c>
      <c r="I21" s="9" t="s">
        <v>120</v>
      </c>
      <c r="J21" s="5" t="s">
        <v>159</v>
      </c>
      <c r="K21" s="5" t="s">
        <v>82</v>
      </c>
    </row>
    <row r="22" customFormat="false" ht="23.85" hidden="false" customHeight="false" outlineLevel="0" collapsed="false">
      <c r="A22" s="2" t="s">
        <v>160</v>
      </c>
      <c r="B22" s="3" t="s">
        <v>161</v>
      </c>
      <c r="C22" s="3" t="s">
        <v>162</v>
      </c>
      <c r="D22" s="3" t="s">
        <v>163</v>
      </c>
      <c r="E22" s="3" t="s">
        <v>164</v>
      </c>
      <c r="F22" s="3" t="s">
        <v>165</v>
      </c>
      <c r="G22" s="3" t="s">
        <v>166</v>
      </c>
      <c r="H22" s="3" t="s">
        <v>167</v>
      </c>
      <c r="I22" s="4" t="s">
        <v>19</v>
      </c>
      <c r="J22" s="2"/>
      <c r="K22" s="2" t="s">
        <v>20</v>
      </c>
    </row>
    <row r="23" customFormat="false" ht="23.85" hidden="false" customHeight="false" outlineLevel="0" collapsed="false">
      <c r="A23" s="5" t="s">
        <v>168</v>
      </c>
      <c r="B23" s="6" t="s">
        <v>161</v>
      </c>
      <c r="C23" s="6" t="s">
        <v>169</v>
      </c>
      <c r="D23" s="6" t="s">
        <v>170</v>
      </c>
      <c r="E23" s="6" t="s">
        <v>171</v>
      </c>
      <c r="F23" s="6" t="s">
        <v>172</v>
      </c>
      <c r="G23" s="6" t="s">
        <v>173</v>
      </c>
      <c r="H23" s="6" t="s">
        <v>174</v>
      </c>
      <c r="I23" s="7" t="s">
        <v>19</v>
      </c>
      <c r="J23" s="5"/>
      <c r="K23" s="5" t="s">
        <v>20</v>
      </c>
    </row>
    <row r="24" customFormat="false" ht="23.85" hidden="false" customHeight="false" outlineLevel="0" collapsed="false">
      <c r="A24" s="2" t="s">
        <v>175</v>
      </c>
      <c r="B24" s="3" t="s">
        <v>161</v>
      </c>
      <c r="C24" s="3" t="s">
        <v>176</v>
      </c>
      <c r="D24" s="3" t="s">
        <v>170</v>
      </c>
      <c r="E24" s="3" t="s">
        <v>177</v>
      </c>
      <c r="F24" s="3" t="s">
        <v>178</v>
      </c>
      <c r="G24" s="3" t="s">
        <v>179</v>
      </c>
      <c r="H24" s="3" t="s">
        <v>180</v>
      </c>
      <c r="I24" s="4" t="s">
        <v>19</v>
      </c>
      <c r="J24" s="2"/>
      <c r="K24" s="2" t="s">
        <v>42</v>
      </c>
    </row>
    <row r="25" customFormat="false" ht="23.85" hidden="false" customHeight="false" outlineLevel="0" collapsed="false">
      <c r="A25" s="5" t="s">
        <v>181</v>
      </c>
      <c r="B25" s="6" t="s">
        <v>161</v>
      </c>
      <c r="C25" s="6" t="s">
        <v>182</v>
      </c>
      <c r="D25" s="6" t="s">
        <v>183</v>
      </c>
      <c r="E25" s="6" t="s">
        <v>184</v>
      </c>
      <c r="F25" s="6" t="s">
        <v>185</v>
      </c>
      <c r="G25" s="6" t="s">
        <v>186</v>
      </c>
      <c r="H25" s="6" t="s">
        <v>187</v>
      </c>
      <c r="I25" s="7" t="s">
        <v>19</v>
      </c>
      <c r="J25" s="5"/>
      <c r="K25" s="5" t="s">
        <v>82</v>
      </c>
    </row>
    <row r="26" customFormat="false" ht="23.85" hidden="false" customHeight="false" outlineLevel="0" collapsed="false">
      <c r="A26" s="2" t="s">
        <v>188</v>
      </c>
      <c r="B26" s="3" t="s">
        <v>161</v>
      </c>
      <c r="C26" s="3" t="s">
        <v>189</v>
      </c>
      <c r="D26" s="3" t="s">
        <v>190</v>
      </c>
      <c r="E26" s="3" t="s">
        <v>191</v>
      </c>
      <c r="F26" s="3" t="s">
        <v>102</v>
      </c>
      <c r="G26" s="3" t="s">
        <v>192</v>
      </c>
      <c r="H26" s="3" t="s">
        <v>193</v>
      </c>
      <c r="I26" s="4" t="s">
        <v>19</v>
      </c>
      <c r="J26" s="2"/>
      <c r="K26" s="2" t="s">
        <v>82</v>
      </c>
    </row>
    <row r="27" customFormat="false" ht="23.85" hidden="false" customHeight="false" outlineLevel="0" collapsed="false">
      <c r="A27" s="5" t="s">
        <v>194</v>
      </c>
      <c r="B27" s="6" t="s">
        <v>195</v>
      </c>
      <c r="C27" s="6" t="s">
        <v>196</v>
      </c>
      <c r="D27" s="6" t="s">
        <v>197</v>
      </c>
      <c r="E27" s="6" t="s">
        <v>198</v>
      </c>
      <c r="F27" s="6" t="s">
        <v>102</v>
      </c>
      <c r="G27" s="6" t="s">
        <v>199</v>
      </c>
      <c r="H27" s="6" t="s">
        <v>200</v>
      </c>
      <c r="I27" s="7" t="s">
        <v>19</v>
      </c>
      <c r="J27" s="5"/>
      <c r="K27" s="5" t="s">
        <v>20</v>
      </c>
    </row>
    <row r="28" customFormat="false" ht="23.85" hidden="false" customHeight="false" outlineLevel="0" collapsed="false">
      <c r="A28" s="2" t="s">
        <v>201</v>
      </c>
      <c r="B28" s="3" t="s">
        <v>195</v>
      </c>
      <c r="C28" s="3" t="s">
        <v>202</v>
      </c>
      <c r="D28" s="3" t="s">
        <v>203</v>
      </c>
      <c r="E28" s="3" t="s">
        <v>204</v>
      </c>
      <c r="F28" s="3" t="s">
        <v>102</v>
      </c>
      <c r="G28" s="3" t="s">
        <v>205</v>
      </c>
      <c r="H28" s="3" t="s">
        <v>206</v>
      </c>
      <c r="I28" s="4" t="s">
        <v>19</v>
      </c>
      <c r="J28" s="2"/>
      <c r="K28" s="2" t="s">
        <v>20</v>
      </c>
    </row>
    <row r="29" customFormat="false" ht="23.85" hidden="false" customHeight="false" outlineLevel="0" collapsed="false">
      <c r="A29" s="5" t="s">
        <v>207</v>
      </c>
      <c r="B29" s="6" t="s">
        <v>195</v>
      </c>
      <c r="C29" s="6" t="s">
        <v>208</v>
      </c>
      <c r="D29" s="6" t="s">
        <v>203</v>
      </c>
      <c r="E29" s="6" t="s">
        <v>209</v>
      </c>
      <c r="F29" s="6" t="s">
        <v>102</v>
      </c>
      <c r="G29" s="6" t="s">
        <v>210</v>
      </c>
      <c r="H29" s="6" t="s">
        <v>211</v>
      </c>
      <c r="I29" s="7" t="s">
        <v>19</v>
      </c>
      <c r="J29" s="5"/>
      <c r="K29" s="5" t="s">
        <v>42</v>
      </c>
    </row>
    <row r="30" customFormat="false" ht="23.85" hidden="false" customHeight="false" outlineLevel="0" collapsed="false">
      <c r="A30" s="2" t="s">
        <v>212</v>
      </c>
      <c r="B30" s="3" t="s">
        <v>195</v>
      </c>
      <c r="C30" s="3" t="s">
        <v>213</v>
      </c>
      <c r="D30" s="3" t="s">
        <v>214</v>
      </c>
      <c r="E30" s="3" t="s">
        <v>215</v>
      </c>
      <c r="F30" s="3" t="s">
        <v>102</v>
      </c>
      <c r="G30" s="3" t="s">
        <v>216</v>
      </c>
      <c r="H30" s="3" t="s">
        <v>217</v>
      </c>
      <c r="I30" s="4" t="s">
        <v>19</v>
      </c>
      <c r="J30" s="2"/>
      <c r="K30" s="2" t="s">
        <v>82</v>
      </c>
    </row>
    <row r="31" customFormat="false" ht="23.85" hidden="false" customHeight="false" outlineLevel="0" collapsed="false">
      <c r="A31" s="5" t="s">
        <v>218</v>
      </c>
      <c r="B31" s="6" t="s">
        <v>195</v>
      </c>
      <c r="C31" s="6" t="s">
        <v>219</v>
      </c>
      <c r="D31" s="6" t="s">
        <v>220</v>
      </c>
      <c r="E31" s="6" t="s">
        <v>221</v>
      </c>
      <c r="F31" s="6" t="s">
        <v>222</v>
      </c>
      <c r="G31" s="6" t="s">
        <v>223</v>
      </c>
      <c r="H31" s="6" t="s">
        <v>224</v>
      </c>
      <c r="I31" s="9" t="s">
        <v>120</v>
      </c>
      <c r="J31" s="5" t="s">
        <v>225</v>
      </c>
      <c r="K31" s="5" t="s">
        <v>82</v>
      </c>
    </row>
    <row r="32" customFormat="false" ht="23.85" hidden="false" customHeight="false" outlineLevel="0" collapsed="false">
      <c r="A32" s="2" t="s">
        <v>226</v>
      </c>
      <c r="B32" s="3" t="s">
        <v>227</v>
      </c>
      <c r="C32" s="3" t="s">
        <v>228</v>
      </c>
      <c r="D32" s="3" t="s">
        <v>229</v>
      </c>
      <c r="E32" s="3" t="s">
        <v>230</v>
      </c>
      <c r="F32" s="3" t="s">
        <v>102</v>
      </c>
      <c r="G32" s="3" t="s">
        <v>231</v>
      </c>
      <c r="H32" s="3" t="s">
        <v>232</v>
      </c>
      <c r="I32" s="4" t="s">
        <v>19</v>
      </c>
      <c r="J32" s="2"/>
      <c r="K32" s="2" t="s">
        <v>105</v>
      </c>
    </row>
    <row r="33" customFormat="false" ht="23.85" hidden="false" customHeight="false" outlineLevel="0" collapsed="false">
      <c r="A33" s="5" t="s">
        <v>233</v>
      </c>
      <c r="B33" s="6" t="s">
        <v>227</v>
      </c>
      <c r="C33" s="6" t="s">
        <v>234</v>
      </c>
      <c r="D33" s="6" t="s">
        <v>235</v>
      </c>
      <c r="E33" s="6" t="s">
        <v>236</v>
      </c>
      <c r="F33" s="6" t="s">
        <v>237</v>
      </c>
      <c r="G33" s="6" t="s">
        <v>238</v>
      </c>
      <c r="H33" s="6" t="s">
        <v>239</v>
      </c>
      <c r="I33" s="7" t="s">
        <v>19</v>
      </c>
      <c r="J33" s="5"/>
      <c r="K33" s="5" t="s">
        <v>105</v>
      </c>
    </row>
    <row r="34" customFormat="false" ht="23.85" hidden="false" customHeight="false" outlineLevel="0" collapsed="false">
      <c r="A34" s="2" t="s">
        <v>240</v>
      </c>
      <c r="B34" s="3" t="s">
        <v>227</v>
      </c>
      <c r="C34" s="3" t="s">
        <v>241</v>
      </c>
      <c r="D34" s="3" t="s">
        <v>242</v>
      </c>
      <c r="E34" s="3" t="s">
        <v>243</v>
      </c>
      <c r="F34" s="3" t="s">
        <v>244</v>
      </c>
      <c r="G34" s="3" t="s">
        <v>245</v>
      </c>
      <c r="H34" s="3" t="s">
        <v>246</v>
      </c>
      <c r="I34" s="4" t="s">
        <v>19</v>
      </c>
      <c r="J34" s="2"/>
      <c r="K34" s="2" t="s">
        <v>42</v>
      </c>
    </row>
    <row r="35" customFormat="false" ht="23.85" hidden="false" customHeight="false" outlineLevel="0" collapsed="false">
      <c r="A35" s="5" t="s">
        <v>247</v>
      </c>
      <c r="B35" s="6" t="s">
        <v>227</v>
      </c>
      <c r="C35" s="6" t="s">
        <v>248</v>
      </c>
      <c r="D35" s="6" t="s">
        <v>249</v>
      </c>
      <c r="E35" s="6" t="s">
        <v>250</v>
      </c>
      <c r="F35" s="6" t="s">
        <v>102</v>
      </c>
      <c r="G35" s="6" t="s">
        <v>251</v>
      </c>
      <c r="H35" s="6" t="s">
        <v>252</v>
      </c>
      <c r="I35" s="7" t="s">
        <v>19</v>
      </c>
      <c r="J35" s="5"/>
      <c r="K35" s="5" t="s">
        <v>42</v>
      </c>
    </row>
    <row r="36" customFormat="false" ht="23.85" hidden="false" customHeight="false" outlineLevel="0" collapsed="false">
      <c r="A36" s="2" t="s">
        <v>253</v>
      </c>
      <c r="B36" s="3" t="s">
        <v>227</v>
      </c>
      <c r="C36" s="3" t="s">
        <v>254</v>
      </c>
      <c r="D36" s="3" t="s">
        <v>255</v>
      </c>
      <c r="E36" s="3" t="s">
        <v>256</v>
      </c>
      <c r="F36" s="3" t="s">
        <v>257</v>
      </c>
      <c r="G36" s="3" t="s">
        <v>258</v>
      </c>
      <c r="H36" s="3" t="s">
        <v>259</v>
      </c>
      <c r="I36" s="4" t="s">
        <v>19</v>
      </c>
      <c r="J36" s="2"/>
      <c r="K36" s="2" t="s">
        <v>82</v>
      </c>
    </row>
    <row r="37" customFormat="false" ht="23.85" hidden="false" customHeight="false" outlineLevel="0" collapsed="false">
      <c r="A37" s="5" t="s">
        <v>260</v>
      </c>
      <c r="B37" s="6" t="s">
        <v>261</v>
      </c>
      <c r="C37" s="6" t="s">
        <v>262</v>
      </c>
      <c r="D37" s="6" t="s">
        <v>263</v>
      </c>
      <c r="E37" s="6" t="s">
        <v>264</v>
      </c>
      <c r="F37" s="6" t="s">
        <v>102</v>
      </c>
      <c r="G37" s="6" t="s">
        <v>265</v>
      </c>
      <c r="H37" s="6" t="s">
        <v>266</v>
      </c>
      <c r="I37" s="7" t="s">
        <v>19</v>
      </c>
      <c r="J37" s="5"/>
      <c r="K37" s="5" t="s">
        <v>20</v>
      </c>
    </row>
    <row r="38" customFormat="false" ht="23.85" hidden="false" customHeight="false" outlineLevel="0" collapsed="false">
      <c r="A38" s="2" t="s">
        <v>267</v>
      </c>
      <c r="B38" s="3" t="s">
        <v>261</v>
      </c>
      <c r="C38" s="3" t="s">
        <v>268</v>
      </c>
      <c r="D38" s="3" t="s">
        <v>229</v>
      </c>
      <c r="E38" s="3" t="s">
        <v>269</v>
      </c>
      <c r="F38" s="3" t="s">
        <v>102</v>
      </c>
      <c r="G38" s="3" t="s">
        <v>270</v>
      </c>
      <c r="H38" s="3" t="s">
        <v>271</v>
      </c>
      <c r="I38" s="4" t="s">
        <v>19</v>
      </c>
      <c r="J38" s="2"/>
      <c r="K38" s="2" t="s">
        <v>20</v>
      </c>
    </row>
    <row r="39" customFormat="false" ht="35.05" hidden="false" customHeight="false" outlineLevel="0" collapsed="false">
      <c r="A39" s="5" t="s">
        <v>272</v>
      </c>
      <c r="B39" s="6" t="s">
        <v>261</v>
      </c>
      <c r="C39" s="6" t="s">
        <v>273</v>
      </c>
      <c r="D39" s="6" t="s">
        <v>274</v>
      </c>
      <c r="E39" s="6" t="s">
        <v>275</v>
      </c>
      <c r="F39" s="6" t="s">
        <v>102</v>
      </c>
      <c r="G39" s="6" t="s">
        <v>276</v>
      </c>
      <c r="H39" s="6" t="s">
        <v>273</v>
      </c>
      <c r="I39" s="7" t="s">
        <v>19</v>
      </c>
      <c r="J39" s="5"/>
      <c r="K39" s="5" t="s">
        <v>42</v>
      </c>
    </row>
    <row r="40" customFormat="false" ht="23.85" hidden="false" customHeight="false" outlineLevel="0" collapsed="false">
      <c r="A40" s="2" t="s">
        <v>277</v>
      </c>
      <c r="B40" s="3" t="s">
        <v>261</v>
      </c>
      <c r="C40" s="3" t="s">
        <v>278</v>
      </c>
      <c r="D40" s="3" t="s">
        <v>279</v>
      </c>
      <c r="E40" s="3" t="s">
        <v>280</v>
      </c>
      <c r="F40" s="3" t="s">
        <v>281</v>
      </c>
      <c r="G40" s="3" t="s">
        <v>282</v>
      </c>
      <c r="H40" s="3" t="s">
        <v>283</v>
      </c>
      <c r="I40" s="4" t="s">
        <v>19</v>
      </c>
      <c r="J40" s="2"/>
      <c r="K40" s="2" t="s">
        <v>82</v>
      </c>
    </row>
    <row r="41" customFormat="false" ht="23.85" hidden="false" customHeight="false" outlineLevel="0" collapsed="false">
      <c r="A41" s="5" t="s">
        <v>284</v>
      </c>
      <c r="B41" s="6" t="s">
        <v>261</v>
      </c>
      <c r="C41" s="6" t="s">
        <v>285</v>
      </c>
      <c r="D41" s="6" t="s">
        <v>286</v>
      </c>
      <c r="E41" s="6" t="s">
        <v>287</v>
      </c>
      <c r="F41" s="6" t="s">
        <v>102</v>
      </c>
      <c r="G41" s="6" t="s">
        <v>288</v>
      </c>
      <c r="H41" s="6" t="s">
        <v>289</v>
      </c>
      <c r="I41" s="7" t="s">
        <v>19</v>
      </c>
      <c r="J41" s="5"/>
      <c r="K41" s="5" t="s">
        <v>82</v>
      </c>
    </row>
  </sheetData>
  <autoFilter ref="A1:K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6" min="4" style="0" width="12"/>
  </cols>
  <sheetData>
    <row r="1" customFormat="false" ht="16.15" hidden="false" customHeight="false" outlineLevel="0" collapsed="false">
      <c r="A1" s="10" t="s">
        <v>290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" t="s">
        <v>1</v>
      </c>
      <c r="B3" s="1" t="s">
        <v>291</v>
      </c>
      <c r="C3" s="1" t="s">
        <v>292</v>
      </c>
      <c r="D3" s="1" t="s">
        <v>293</v>
      </c>
      <c r="E3" s="1" t="s">
        <v>294</v>
      </c>
      <c r="F3" s="1" t="s">
        <v>295</v>
      </c>
    </row>
    <row r="4" customFormat="false" ht="15" hidden="false" customHeight="false" outlineLevel="0" collapsed="false">
      <c r="A4" s="11" t="s">
        <v>296</v>
      </c>
      <c r="B4" s="12" t="s">
        <v>297</v>
      </c>
      <c r="C4" s="11" t="n">
        <f aca="false">COUNTIF('Test Cases'!$A:$A,"TC-01-*")</f>
        <v>5</v>
      </c>
      <c r="D4" s="11" t="n">
        <f aca="false">COUNTIFS('Test Cases'!$A:$A,"TC-01-*",'Test Cases'!$I:$I,"Pass")</f>
        <v>5</v>
      </c>
      <c r="E4" s="11" t="n">
        <f aca="false">COUNTIFS('Test Cases'!$A:$A,"TC-01-*",'Test Cases'!$I:$I,"Fail")</f>
        <v>0</v>
      </c>
      <c r="F4" s="13" t="n">
        <f aca="false">IF(C4=0,0,D4/C4)</f>
        <v>1</v>
      </c>
    </row>
    <row r="5" customFormat="false" ht="15" hidden="false" customHeight="false" outlineLevel="0" collapsed="false">
      <c r="A5" s="11" t="s">
        <v>298</v>
      </c>
      <c r="B5" s="12" t="s">
        <v>299</v>
      </c>
      <c r="C5" s="11" t="n">
        <f aca="false">COUNTIF('Test Cases'!$A:$A,"TC-02-*")</f>
        <v>5</v>
      </c>
      <c r="D5" s="11" t="n">
        <f aca="false">COUNTIFS('Test Cases'!$A:$A,"TC-02-*",'Test Cases'!$I:$I,"Pass")</f>
        <v>5</v>
      </c>
      <c r="E5" s="11" t="n">
        <f aca="false">COUNTIFS('Test Cases'!$A:$A,"TC-02-*",'Test Cases'!$I:$I,"Fail")</f>
        <v>0</v>
      </c>
      <c r="F5" s="13" t="n">
        <f aca="false">IF(C5=0,0,D5/C5)</f>
        <v>1</v>
      </c>
    </row>
    <row r="6" customFormat="false" ht="15" hidden="false" customHeight="false" outlineLevel="0" collapsed="false">
      <c r="A6" s="11" t="s">
        <v>300</v>
      </c>
      <c r="B6" s="12" t="s">
        <v>301</v>
      </c>
      <c r="C6" s="11" t="n">
        <f aca="false">COUNTIF('Test Cases'!$A:$A,"TC-03-*")</f>
        <v>5</v>
      </c>
      <c r="D6" s="11" t="n">
        <f aca="false">COUNTIFS('Test Cases'!$A:$A,"TC-03-*",'Test Cases'!$I:$I,"Pass")</f>
        <v>4</v>
      </c>
      <c r="E6" s="11" t="n">
        <f aca="false">COUNTIFS('Test Cases'!$A:$A,"TC-03-*",'Test Cases'!$I:$I,"Fail")</f>
        <v>1</v>
      </c>
      <c r="F6" s="13" t="n">
        <f aca="false">IF(C6=0,0,D6/C6)</f>
        <v>0.8</v>
      </c>
    </row>
    <row r="7" customFormat="false" ht="15" hidden="false" customHeight="false" outlineLevel="0" collapsed="false">
      <c r="A7" s="11" t="s">
        <v>302</v>
      </c>
      <c r="B7" s="12" t="s">
        <v>303</v>
      </c>
      <c r="C7" s="11" t="n">
        <f aca="false">COUNTIF('Test Cases'!$A:$A,"TC-04-*")</f>
        <v>5</v>
      </c>
      <c r="D7" s="11" t="n">
        <f aca="false">COUNTIFS('Test Cases'!$A:$A,"TC-04-*",'Test Cases'!$I:$I,"Pass")</f>
        <v>2</v>
      </c>
      <c r="E7" s="11" t="n">
        <f aca="false">COUNTIFS('Test Cases'!$A:$A,"TC-04-*",'Test Cases'!$I:$I,"Fail")</f>
        <v>3</v>
      </c>
      <c r="F7" s="13" t="n">
        <f aca="false">IF(C7=0,0,D7/C7)</f>
        <v>0.4</v>
      </c>
    </row>
    <row r="8" customFormat="false" ht="15" hidden="false" customHeight="false" outlineLevel="0" collapsed="false">
      <c r="A8" s="11" t="s">
        <v>304</v>
      </c>
      <c r="B8" s="12" t="s">
        <v>305</v>
      </c>
      <c r="C8" s="11" t="n">
        <f aca="false">COUNTIF('Test Cases'!$A:$A,"TC-05-*")</f>
        <v>5</v>
      </c>
      <c r="D8" s="11" t="n">
        <f aca="false">COUNTIFS('Test Cases'!$A:$A,"TC-05-*",'Test Cases'!$I:$I,"Pass")</f>
        <v>5</v>
      </c>
      <c r="E8" s="11" t="n">
        <f aca="false">COUNTIFS('Test Cases'!$A:$A,"TC-05-*",'Test Cases'!$I:$I,"Fail")</f>
        <v>0</v>
      </c>
      <c r="F8" s="13" t="n">
        <f aca="false">IF(C8=0,0,D8/C8)</f>
        <v>1</v>
      </c>
    </row>
    <row r="9" customFormat="false" ht="15" hidden="false" customHeight="false" outlineLevel="0" collapsed="false">
      <c r="A9" s="11" t="s">
        <v>306</v>
      </c>
      <c r="B9" s="12" t="s">
        <v>307</v>
      </c>
      <c r="C9" s="11" t="n">
        <f aca="false">COUNTIF('Test Cases'!$A:$A,"TC-06-*")</f>
        <v>5</v>
      </c>
      <c r="D9" s="11" t="n">
        <f aca="false">COUNTIFS('Test Cases'!$A:$A,"TC-06-*",'Test Cases'!$I:$I,"Pass")</f>
        <v>4</v>
      </c>
      <c r="E9" s="11" t="n">
        <f aca="false">COUNTIFS('Test Cases'!$A:$A,"TC-06-*",'Test Cases'!$I:$I,"Fail")</f>
        <v>1</v>
      </c>
      <c r="F9" s="13" t="n">
        <f aca="false">IF(C9=0,0,D9/C9)</f>
        <v>0.8</v>
      </c>
    </row>
    <row r="10" customFormat="false" ht="15" hidden="false" customHeight="false" outlineLevel="0" collapsed="false">
      <c r="A10" s="11" t="s">
        <v>308</v>
      </c>
      <c r="B10" s="12" t="s">
        <v>309</v>
      </c>
      <c r="C10" s="11" t="n">
        <f aca="false">COUNTIF('Test Cases'!$A:$A,"TC-07-*")</f>
        <v>5</v>
      </c>
      <c r="D10" s="11" t="n">
        <f aca="false">COUNTIFS('Test Cases'!$A:$A,"TC-07-*",'Test Cases'!$I:$I,"Pass")</f>
        <v>5</v>
      </c>
      <c r="E10" s="11" t="n">
        <f aca="false">COUNTIFS('Test Cases'!$A:$A,"TC-07-*",'Test Cases'!$I:$I,"Fail")</f>
        <v>0</v>
      </c>
      <c r="F10" s="13" t="n">
        <f aca="false">IF(C10=0,0,D10/C10)</f>
        <v>1</v>
      </c>
    </row>
    <row r="11" customFormat="false" ht="15" hidden="false" customHeight="false" outlineLevel="0" collapsed="false">
      <c r="A11" s="11" t="s">
        <v>310</v>
      </c>
      <c r="B11" s="12" t="s">
        <v>311</v>
      </c>
      <c r="C11" s="11" t="n">
        <f aca="false">COUNTIF('Test Cases'!$A:$A,"TC-08-*")</f>
        <v>5</v>
      </c>
      <c r="D11" s="11" t="n">
        <f aca="false">COUNTIFS('Test Cases'!$A:$A,"TC-08-*",'Test Cases'!$I:$I,"Pass")</f>
        <v>5</v>
      </c>
      <c r="E11" s="11" t="n">
        <f aca="false">COUNTIFS('Test Cases'!$A:$A,"TC-08-*",'Test Cases'!$I:$I,"Fail")</f>
        <v>0</v>
      </c>
      <c r="F11" s="13" t="n">
        <f aca="false">IF(C11=0,0,D11/C11)</f>
        <v>1</v>
      </c>
    </row>
    <row r="12" customFormat="false" ht="15" hidden="false" customHeight="false" outlineLevel="0" collapsed="false">
      <c r="A12" s="14" t="s">
        <v>312</v>
      </c>
      <c r="B12" s="15" t="s">
        <v>313</v>
      </c>
      <c r="C12" s="14" t="n">
        <f aca="false">SUM(C4:C11)</f>
        <v>40</v>
      </c>
      <c r="D12" s="14" t="n">
        <f aca="false">SUM(D4:D11)</f>
        <v>35</v>
      </c>
      <c r="E12" s="14" t="n">
        <f aca="false">SUM(E4:E11)</f>
        <v>5</v>
      </c>
      <c r="F12" s="16" t="n">
        <f aca="false">IF(C12=0,0,D12/C12)</f>
        <v>0.875</v>
      </c>
    </row>
    <row r="14" customFormat="false" ht="15" hidden="false" customHeight="false" outlineLevel="0" collapsed="false">
      <c r="A14" s="17" t="s">
        <v>314</v>
      </c>
      <c r="C14" s="18" t="n">
        <f aca="false">COUNTA(A4:A11)</f>
        <v>8</v>
      </c>
    </row>
    <row r="15" customFormat="false" ht="15" hidden="false" customHeight="false" outlineLevel="0" collapsed="false">
      <c r="A15" s="17" t="s">
        <v>315</v>
      </c>
      <c r="B15" s="18" t="s">
        <v>316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42"/>
  </cols>
  <sheetData>
    <row r="1" customFormat="false" ht="25.5" hidden="false" customHeight="true" outlineLevel="0" collapsed="false">
      <c r="A1" s="1" t="s">
        <v>9</v>
      </c>
      <c r="B1" s="1" t="s">
        <v>317</v>
      </c>
      <c r="C1" s="1" t="s">
        <v>1</v>
      </c>
      <c r="D1" s="1" t="s">
        <v>318</v>
      </c>
      <c r="E1" s="1" t="s">
        <v>319</v>
      </c>
      <c r="F1" s="1" t="s">
        <v>320</v>
      </c>
      <c r="G1" s="1" t="s">
        <v>8</v>
      </c>
      <c r="H1" s="1" t="s">
        <v>321</v>
      </c>
    </row>
    <row r="2" customFormat="false" ht="23.85" hidden="false" customHeight="false" outlineLevel="0" collapsed="false">
      <c r="A2" s="2" t="s">
        <v>130</v>
      </c>
      <c r="B2" s="2" t="s">
        <v>122</v>
      </c>
      <c r="C2" s="2" t="s">
        <v>302</v>
      </c>
      <c r="D2" s="3" t="s">
        <v>322</v>
      </c>
      <c r="E2" s="8" t="s">
        <v>323</v>
      </c>
      <c r="F2" s="2" t="s">
        <v>324</v>
      </c>
      <c r="G2" s="2" t="s">
        <v>325</v>
      </c>
      <c r="H2" s="3" t="s">
        <v>326</v>
      </c>
    </row>
    <row r="3" customFormat="false" ht="23.85" hidden="false" customHeight="false" outlineLevel="0" collapsed="false">
      <c r="A3" s="5" t="s">
        <v>138</v>
      </c>
      <c r="B3" s="5" t="s">
        <v>131</v>
      </c>
      <c r="C3" s="5" t="s">
        <v>302</v>
      </c>
      <c r="D3" s="6" t="s">
        <v>327</v>
      </c>
      <c r="E3" s="9" t="s">
        <v>323</v>
      </c>
      <c r="F3" s="5" t="s">
        <v>324</v>
      </c>
      <c r="G3" s="5" t="s">
        <v>325</v>
      </c>
      <c r="H3" s="6" t="s">
        <v>328</v>
      </c>
    </row>
    <row r="4" customFormat="false" ht="23.85" hidden="false" customHeight="false" outlineLevel="0" collapsed="false">
      <c r="A4" s="2" t="s">
        <v>121</v>
      </c>
      <c r="B4" s="2" t="s">
        <v>113</v>
      </c>
      <c r="C4" s="2" t="s">
        <v>300</v>
      </c>
      <c r="D4" s="3" t="s">
        <v>329</v>
      </c>
      <c r="E4" s="19" t="s">
        <v>330</v>
      </c>
      <c r="F4" s="2" t="s">
        <v>330</v>
      </c>
      <c r="G4" s="2" t="s">
        <v>325</v>
      </c>
      <c r="H4" s="3" t="s">
        <v>331</v>
      </c>
    </row>
    <row r="5" customFormat="false" ht="23.85" hidden="false" customHeight="false" outlineLevel="0" collapsed="false">
      <c r="A5" s="5" t="s">
        <v>159</v>
      </c>
      <c r="B5" s="5" t="s">
        <v>152</v>
      </c>
      <c r="C5" s="5" t="s">
        <v>302</v>
      </c>
      <c r="D5" s="6" t="s">
        <v>332</v>
      </c>
      <c r="E5" s="20" t="s">
        <v>330</v>
      </c>
      <c r="F5" s="5" t="s">
        <v>333</v>
      </c>
      <c r="G5" s="5" t="s">
        <v>325</v>
      </c>
      <c r="H5" s="6" t="s">
        <v>334</v>
      </c>
    </row>
    <row r="6" customFormat="false" ht="23.85" hidden="false" customHeight="false" outlineLevel="0" collapsed="false">
      <c r="A6" s="2" t="s">
        <v>225</v>
      </c>
      <c r="B6" s="2" t="s">
        <v>218</v>
      </c>
      <c r="C6" s="2" t="s">
        <v>306</v>
      </c>
      <c r="D6" s="3" t="s">
        <v>335</v>
      </c>
      <c r="E6" s="19" t="s">
        <v>330</v>
      </c>
      <c r="F6" s="2" t="s">
        <v>330</v>
      </c>
      <c r="G6" s="2" t="s">
        <v>325</v>
      </c>
      <c r="H6" s="3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2026-07-02T17:00:49Z</dcterms:created>
  <dc:creator>openpyxl</dc:creator>
  <dc:description/>
  <dc:language>en-US</dc:language>
  <cp:lastModifiedBy/>
  <dcterms:modified xsi:type="dcterms:W3CDTF">2026-07-02T17:00:49Z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