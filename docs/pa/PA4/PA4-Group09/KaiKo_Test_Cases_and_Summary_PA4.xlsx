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est Summary" sheetId="2" state="visible" r:id="rId2"/>
    <sheet xmlns:r="http://schemas.openxmlformats.org/officeDocument/2006/relationships" name="Defects" sheetId="3" state="visible" r:id="rId3"/>
  </sheets>
  <definedNames>
    <definedName name="_xlnm._FilterDatabase" localSheetId="0" hidden="1">'Test Cases'!$A$1:$K$41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.5"/>
    </font>
    <font>
      <name val="Arial"/>
      <charset val="1"/>
      <family val="0"/>
      <b val="1"/>
      <color rgb="FF1E7D34"/>
      <sz val="9.5"/>
    </font>
    <font>
      <name val="Arial"/>
      <charset val="1"/>
      <family val="0"/>
      <b val="1"/>
      <color rgb="FFB00020"/>
      <sz val="9.5"/>
    </font>
    <font>
      <name val="Arial"/>
      <charset val="1"/>
      <family val="0"/>
      <b val="1"/>
      <color rgb="FF1F3A6E"/>
      <sz val="13"/>
    </font>
    <font>
      <name val="Arial"/>
      <charset val="1"/>
      <family val="0"/>
      <b val="1"/>
      <sz val="9.5"/>
    </font>
    <font>
      <name val="Arial"/>
      <charset val="1"/>
      <family val="0"/>
      <b val="1"/>
      <color rgb="FF9A6B00"/>
      <sz val="9.5"/>
    </font>
  </fonts>
  <fills count="5">
    <fill>
      <patternFill/>
    </fill>
    <fill>
      <patternFill patternType="gray125"/>
    </fill>
    <fill>
      <patternFill patternType="solid">
        <fgColor rgb="FF1F3A6E"/>
        <bgColor rgb="FF333399"/>
      </patternFill>
    </fill>
    <fill>
      <patternFill patternType="solid">
        <fgColor rgb="FFEEF2F8"/>
        <bgColor rgb="FFFFFFFF"/>
      </patternFill>
    </fill>
    <fill>
      <patternFill patternType="solid">
        <fgColor rgb="FFD6E0F0"/>
        <bgColor rgb="FFEEF2F8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5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left" vertical="bottom"/>
    </xf>
    <xf numFmtId="164" fontId="5" fillId="0" borderId="1" applyAlignment="1" pivotButton="0" quotePrefix="0" xfId="0">
      <alignment horizontal="center" vertical="bottom"/>
    </xf>
    <xf numFmtId="0" fontId="9" fillId="4" borderId="1" applyAlignment="1" pivotButton="0" quotePrefix="0" xfId="0">
      <alignment horizontal="center" vertical="bottom"/>
    </xf>
    <xf numFmtId="0" fontId="9" fillId="4" borderId="1" applyAlignment="1" pivotButton="0" quotePrefix="0" xfId="0">
      <alignment horizontal="left" vertical="bottom"/>
    </xf>
    <xf numFmtId="164" fontId="9" fillId="4" borderId="1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left" vertical="bottom"/>
    </xf>
    <xf numFmtId="164" fontId="5" fillId="0" borderId="1" applyAlignment="1" pivotButton="0" quotePrefix="0" xfId="0">
      <alignment horizontal="center" vertical="bottom"/>
    </xf>
    <xf numFmtId="0" fontId="9" fillId="4" borderId="1" applyAlignment="1" pivotButton="0" quotePrefix="0" xfId="0">
      <alignment horizontal="center" vertical="bottom"/>
    </xf>
    <xf numFmtId="0" fontId="9" fillId="4" borderId="1" applyAlignment="1" pivotButton="0" quotePrefix="0" xfId="0">
      <alignment horizontal="left" vertical="bottom"/>
    </xf>
    <xf numFmtId="164" fontId="9" fillId="4" borderId="1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A6E"/>
          <bgColor rgb="FF000000"/>
        </patternFill>
      </fill>
    </dxf>
    <dxf>
      <fill>
        <patternFill patternType="solid">
          <fgColor rgb="FFEEF2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E7D34"/>
          <bgColor rgb="FF000000"/>
        </patternFill>
      </fill>
    </dxf>
    <dxf>
      <fill>
        <patternFill patternType="solid">
          <fgColor rgb="FFB0002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1E7D34"/>
      <rgbColor rgb="FF000080"/>
      <rgbColor rgb="FF9A6B00"/>
      <rgbColor rgb="FF800080"/>
      <rgbColor rgb="FF008080"/>
      <rgbColor rgb="FFB0B7C3"/>
      <rgbColor rgb="FF808080"/>
      <rgbColor rgb="FF9999FF"/>
      <rgbColor rgb="FF993366"/>
      <rgbColor rgb="FFEEF2F8"/>
      <rgbColor rgb="FFCCFFFF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5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1" min="1" max="1"/>
    <col width="24" customWidth="1" style="21" min="2" max="2"/>
    <col width="26" customWidth="1" style="21" min="3" max="4"/>
    <col width="34" customWidth="1" style="21" min="5" max="5"/>
    <col width="22" customWidth="1" style="21" min="6" max="6"/>
    <col width="32" customWidth="1" style="21" min="7" max="7"/>
    <col width="30" customWidth="1" style="21" min="8" max="8"/>
    <col width="9" customWidth="1" style="21" min="9" max="9"/>
    <col width="10" customWidth="1" style="21" min="10" max="10"/>
    <col width="9" customWidth="1" style="21" min="11" max="11"/>
  </cols>
  <sheetData>
    <row r="1" ht="27.75" customHeight="1" s="22">
      <c r="A1" s="23" t="inlineStr">
        <is>
          <t>Test Case ID</t>
        </is>
      </c>
      <c r="B1" s="23" t="inlineStr">
        <is>
          <t>Use Case</t>
        </is>
      </c>
      <c r="C1" s="23" t="inlineStr">
        <is>
          <t>Test Case Title</t>
        </is>
      </c>
      <c r="D1" s="23" t="inlineStr">
        <is>
          <t>Precondition</t>
        </is>
      </c>
      <c r="E1" s="23" t="inlineStr">
        <is>
          <t>Test Steps</t>
        </is>
      </c>
      <c r="F1" s="23" t="inlineStr">
        <is>
          <t>Test Data</t>
        </is>
      </c>
      <c r="G1" s="23" t="inlineStr">
        <is>
          <t>Expected Result</t>
        </is>
      </c>
      <c r="H1" s="23" t="inlineStr">
        <is>
          <t>Actual Result</t>
        </is>
      </c>
      <c r="I1" s="23" t="inlineStr">
        <is>
          <t>Status</t>
        </is>
      </c>
      <c r="J1" s="23" t="inlineStr">
        <is>
          <t>Defect ID</t>
        </is>
      </c>
      <c r="K1" s="23" t="inlineStr">
        <is>
          <t>Tester</t>
        </is>
      </c>
    </row>
    <row r="2" ht="35.05" customHeight="1" s="22">
      <c r="A2" s="32" t="inlineStr">
        <is>
          <t>TC-01-01</t>
        </is>
      </c>
      <c r="B2" s="33" t="inlineStr">
        <is>
          <t>UC01 – Đăng nhập (Login)</t>
        </is>
      </c>
      <c r="C2" s="33" t="inlineStr">
        <is>
          <t>Đăng nhập username/password hợp lệ</t>
        </is>
      </c>
      <c r="D2" s="33" t="inlineStr">
        <is>
          <t>Đã có tài khoản; đang ở trang Đăng nhập</t>
        </is>
      </c>
      <c r="E2" s="33" t="inlineStr">
        <is>
          <t>1. Nhập username hợp lệ
2. Nhập password đúng
3. Nhấn Đăng nhập</t>
        </is>
      </c>
      <c r="F2" s="33" t="inlineStr">
        <is>
          <t>user: kaiko_test / pass: Test@123</t>
        </is>
      </c>
      <c r="G2" s="33" t="inlineStr">
        <is>
          <t>Đăng nhập thành công, chuyển tới Dashboard</t>
        </is>
      </c>
      <c r="H2" s="33" t="inlineStr">
        <is>
          <t>Vào Dashboard đúng như mong đợi</t>
        </is>
      </c>
      <c r="I2" s="34" t="inlineStr">
        <is>
          <t>Pass</t>
        </is>
      </c>
      <c r="J2" s="32" t="n"/>
      <c r="K2" s="32" t="inlineStr">
        <is>
          <t>Thịnh</t>
        </is>
      </c>
    </row>
    <row r="3" ht="35.05" customHeight="1" s="22">
      <c r="A3" s="27" t="inlineStr">
        <is>
          <t>TC-01-02</t>
        </is>
      </c>
      <c r="B3" s="28" t="inlineStr">
        <is>
          <t>UC01 – Đăng nhập (Login)</t>
        </is>
      </c>
      <c r="C3" s="28" t="inlineStr">
        <is>
          <t>Đăng nhập sai mật khẩu</t>
        </is>
      </c>
      <c r="D3" s="28" t="inlineStr">
        <is>
          <t>Đã có tài khoản</t>
        </is>
      </c>
      <c r="E3" s="28" t="inlineStr">
        <is>
          <t>1. Nhập username đúng
2. Nhập password sai
3. Nhấn Đăng nhập</t>
        </is>
      </c>
      <c r="F3" s="28" t="inlineStr">
        <is>
          <t>pass: SaiMatKhau</t>
        </is>
      </c>
      <c r="G3" s="28" t="inlineStr">
        <is>
          <t>Hiển thị thông báo lỗi, không đăng nhập</t>
        </is>
      </c>
      <c r="H3" s="28" t="inlineStr">
        <is>
          <t>Báo lỗi thông tin không đúng</t>
        </is>
      </c>
      <c r="I3" s="29" t="inlineStr">
        <is>
          <t>Pass</t>
        </is>
      </c>
      <c r="J3" s="27" t="n"/>
      <c r="K3" s="27" t="inlineStr">
        <is>
          <t>Thịnh</t>
        </is>
      </c>
    </row>
    <row r="4" ht="35.05" customHeight="1" s="22">
      <c r="A4" s="32" t="inlineStr">
        <is>
          <t>TC-01-03</t>
        </is>
      </c>
      <c r="B4" s="33" t="inlineStr">
        <is>
          <t>UC01 – Đăng nhập (Login)</t>
        </is>
      </c>
      <c r="C4" s="33" t="inlineStr">
        <is>
          <t>Bỏ trống username</t>
        </is>
      </c>
      <c r="D4" s="33" t="inlineStr">
        <is>
          <t>Ở trang Đăng nhập</t>
        </is>
      </c>
      <c r="E4" s="33" t="inlineStr">
        <is>
          <t>1. Để trống username
2. Nhập password
3. Nhấn Đăng nhập</t>
        </is>
      </c>
      <c r="F4" s="33" t="inlineStr">
        <is>
          <t>username rỗng</t>
        </is>
      </c>
      <c r="G4" s="33" t="inlineStr">
        <is>
          <t>Chặn submit / báo trường bắt buộc</t>
        </is>
      </c>
      <c r="H4" s="33" t="inlineStr">
        <is>
          <t>Không cho đăng nhập</t>
        </is>
      </c>
      <c r="I4" s="34" t="inlineStr">
        <is>
          <t>Pass</t>
        </is>
      </c>
      <c r="J4" s="32" t="n"/>
      <c r="K4" s="32" t="inlineStr">
        <is>
          <t>Thịnh</t>
        </is>
      </c>
    </row>
    <row r="5" ht="23.85" customHeight="1" s="22">
      <c r="A5" s="27" t="inlineStr">
        <is>
          <t>TC-01-04</t>
        </is>
      </c>
      <c r="B5" s="28" t="inlineStr">
        <is>
          <t>UC01 – Đăng nhập (Login)</t>
        </is>
      </c>
      <c r="C5" s="28" t="inlineStr">
        <is>
          <t>Đăng nhập bằng Clerk OAuth (Google)</t>
        </is>
      </c>
      <c r="D5" s="28" t="inlineStr">
        <is>
          <t>Có tài khoản Google</t>
        </is>
      </c>
      <c r="E5" s="28" t="inlineStr">
        <is>
          <t>1. Nhấn 'Đăng nhập với Google'
2. Chọn tài khoản Google</t>
        </is>
      </c>
      <c r="F5" s="28" t="inlineStr">
        <is>
          <t>Google account</t>
        </is>
      </c>
      <c r="G5" s="28" t="inlineStr">
        <is>
          <t>Đăng nhập OAuth thành công, vào Dashboard</t>
        </is>
      </c>
      <c r="H5" s="28" t="inlineStr">
        <is>
          <t>Đăng nhập Google thành công</t>
        </is>
      </c>
      <c r="I5" s="29" t="inlineStr">
        <is>
          <t>Pass</t>
        </is>
      </c>
      <c r="J5" s="27" t="n"/>
      <c r="K5" s="27" t="inlineStr">
        <is>
          <t>Linh</t>
        </is>
      </c>
    </row>
    <row r="6" ht="35.05" customHeight="1" s="22">
      <c r="A6" s="32" t="inlineStr">
        <is>
          <t>TC-01-05</t>
        </is>
      </c>
      <c r="B6" s="33" t="inlineStr">
        <is>
          <t>UC01 – Đăng nhập (Login)</t>
        </is>
      </c>
      <c r="C6" s="33" t="inlineStr">
        <is>
          <t>Đăng nhập username không tồn tại</t>
        </is>
      </c>
      <c r="D6" s="33" t="inlineStr">
        <is>
          <t>Ở trang Đăng nhập</t>
        </is>
      </c>
      <c r="E6" s="33" t="inlineStr">
        <is>
          <t>1. Nhập username chưa đăng ký
2. Nhập password bất kỳ
3. Đăng nhập</t>
        </is>
      </c>
      <c r="F6" s="33" t="inlineStr">
        <is>
          <t>user: notexist</t>
        </is>
      </c>
      <c r="G6" s="33" t="inlineStr">
        <is>
          <t>Báo lỗi tài khoản không tồn tại</t>
        </is>
      </c>
      <c r="H6" s="33" t="inlineStr">
        <is>
          <t>Báo lỗi đúng</t>
        </is>
      </c>
      <c r="I6" s="34" t="inlineStr">
        <is>
          <t>Pass</t>
        </is>
      </c>
      <c r="J6" s="32" t="n"/>
      <c r="K6" s="32" t="inlineStr">
        <is>
          <t>Linh</t>
        </is>
      </c>
    </row>
    <row r="7" ht="35.05" customHeight="1" s="22">
      <c r="A7" s="27" t="inlineStr">
        <is>
          <t>TC-02-01</t>
        </is>
      </c>
      <c r="B7" s="28" t="inlineStr">
        <is>
          <t>UC02 – Đăng ký tài khoản (Register)</t>
        </is>
      </c>
      <c r="C7" s="28" t="inlineStr">
        <is>
          <t>Đăng ký tài khoản mới hợp lệ</t>
        </is>
      </c>
      <c r="D7" s="28" t="inlineStr">
        <is>
          <t>Ở trang Đăng ký</t>
        </is>
      </c>
      <c r="E7" s="28" t="inlineStr">
        <is>
          <t>1. Nhập username mới
2. Nhập password hợp lệ
3. Nhấn Đăng ký</t>
        </is>
      </c>
      <c r="F7" s="28" t="inlineStr">
        <is>
          <t>user: kaiko_new / pass: New@123</t>
        </is>
      </c>
      <c r="G7" s="28" t="inlineStr">
        <is>
          <t>Tạo tài khoản thành công</t>
        </is>
      </c>
      <c r="H7" s="28" t="inlineStr">
        <is>
          <t>Tạo tài khoản thành công</t>
        </is>
      </c>
      <c r="I7" s="29" t="inlineStr">
        <is>
          <t>Pass</t>
        </is>
      </c>
      <c r="J7" s="27" t="n"/>
      <c r="K7" s="27" t="inlineStr">
        <is>
          <t>Thịnh</t>
        </is>
      </c>
    </row>
    <row r="8" ht="35.05" customHeight="1" s="22">
      <c r="A8" s="32" t="inlineStr">
        <is>
          <t>TC-02-02</t>
        </is>
      </c>
      <c r="B8" s="33" t="inlineStr">
        <is>
          <t>UC02 – Đăng ký tài khoản (Register)</t>
        </is>
      </c>
      <c r="C8" s="33" t="inlineStr">
        <is>
          <t>Đăng ký username đã tồn tại</t>
        </is>
      </c>
      <c r="D8" s="33" t="inlineStr">
        <is>
          <t>Username đã tồn tại trong hệ thống</t>
        </is>
      </c>
      <c r="E8" s="33" t="inlineStr">
        <is>
          <t>1. Nhập username đã có
2. Nhập password
3. Đăng ký</t>
        </is>
      </c>
      <c r="F8" s="33" t="inlineStr">
        <is>
          <t>user: kaiko_test</t>
        </is>
      </c>
      <c r="G8" s="33" t="inlineStr">
        <is>
          <t>Báo lỗi username đã tồn tại</t>
        </is>
      </c>
      <c r="H8" s="33" t="inlineStr">
        <is>
          <t>Báo trùng username</t>
        </is>
      </c>
      <c r="I8" s="34" t="inlineStr">
        <is>
          <t>Pass</t>
        </is>
      </c>
      <c r="J8" s="32" t="n"/>
      <c r="K8" s="32" t="inlineStr">
        <is>
          <t>Thịnh</t>
        </is>
      </c>
    </row>
    <row r="9" ht="35.05" customHeight="1" s="22">
      <c r="A9" s="27" t="inlineStr">
        <is>
          <t>TC-02-03</t>
        </is>
      </c>
      <c r="B9" s="28" t="inlineStr">
        <is>
          <t>UC02 – Đăng ký tài khoản (Register)</t>
        </is>
      </c>
      <c r="C9" s="28" t="inlineStr">
        <is>
          <t>Đăng ký với mật khẩu quá ngắn</t>
        </is>
      </c>
      <c r="D9" s="28" t="inlineStr">
        <is>
          <t>Ở trang Đăng ký</t>
        </is>
      </c>
      <c r="E9" s="28" t="inlineStr">
        <is>
          <t>1. Nhập username mới
2. Nhập password 2 ký tự
3. Đăng ký</t>
        </is>
      </c>
      <c r="F9" s="28" t="inlineStr">
        <is>
          <t>pass: 12</t>
        </is>
      </c>
      <c r="G9" s="28" t="inlineStr">
        <is>
          <t>Cảnh báo mật khẩu không hợp lệ</t>
        </is>
      </c>
      <c r="H9" s="28" t="inlineStr">
        <is>
          <t>Chặn mật khẩu yếu</t>
        </is>
      </c>
      <c r="I9" s="29" t="inlineStr">
        <is>
          <t>Pass</t>
        </is>
      </c>
      <c r="J9" s="27" t="n"/>
      <c r="K9" s="27" t="inlineStr">
        <is>
          <t>Linh</t>
        </is>
      </c>
    </row>
    <row r="10" ht="23.85" customHeight="1" s="22">
      <c r="A10" s="32" t="inlineStr">
        <is>
          <t>TC-02-04</t>
        </is>
      </c>
      <c r="B10" s="33" t="inlineStr">
        <is>
          <t>UC02 – Đăng ký tài khoản (Register)</t>
        </is>
      </c>
      <c r="C10" s="33" t="inlineStr">
        <is>
          <t>Bỏ trống trường bắt buộc</t>
        </is>
      </c>
      <c r="D10" s="33" t="inlineStr">
        <is>
          <t>Ở trang Đăng ký</t>
        </is>
      </c>
      <c r="E10" s="33" t="inlineStr">
        <is>
          <t>1. Để trống password
2. Nhấn Đăng ký</t>
        </is>
      </c>
      <c r="F10" s="33" t="inlineStr">
        <is>
          <t>password rỗng</t>
        </is>
      </c>
      <c r="G10" s="33" t="inlineStr">
        <is>
          <t>Báo trường bắt buộc, không tạo</t>
        </is>
      </c>
      <c r="H10" s="33" t="inlineStr">
        <is>
          <t>Không tạo tài khoản</t>
        </is>
      </c>
      <c r="I10" s="34" t="inlineStr">
        <is>
          <t>Pass</t>
        </is>
      </c>
      <c r="J10" s="32" t="n"/>
      <c r="K10" s="32" t="inlineStr">
        <is>
          <t>Linh</t>
        </is>
      </c>
    </row>
    <row r="11" ht="23.85" customHeight="1" s="22">
      <c r="A11" s="27" t="inlineStr">
        <is>
          <t>TC-02-05</t>
        </is>
      </c>
      <c r="B11" s="28" t="inlineStr">
        <is>
          <t>UC02 – Đăng ký tài khoản (Register)</t>
        </is>
      </c>
      <c r="C11" s="28" t="inlineStr">
        <is>
          <t>Đăng ký xong đăng nhập được</t>
        </is>
      </c>
      <c r="D11" s="28" t="inlineStr">
        <is>
          <t>Vừa đăng ký thành công</t>
        </is>
      </c>
      <c r="E11" s="28" t="inlineStr">
        <is>
          <t>1. Đăng xuất
2. Đăng nhập lại bằng tài khoản vừa tạo</t>
        </is>
      </c>
      <c r="F11" s="28" t="inlineStr">
        <is>
          <t>kaiko_new / New@123</t>
        </is>
      </c>
      <c r="G11" s="28" t="inlineStr">
        <is>
          <t>Đăng nhập thành công</t>
        </is>
      </c>
      <c r="H11" s="28" t="inlineStr">
        <is>
          <t>Đăng nhập được ngay</t>
        </is>
      </c>
      <c r="I11" s="29" t="inlineStr">
        <is>
          <t>Pass</t>
        </is>
      </c>
      <c r="J11" s="27" t="n"/>
      <c r="K11" s="27" t="inlineStr">
        <is>
          <t>Bảo</t>
        </is>
      </c>
    </row>
    <row r="12" ht="23.85" customHeight="1" s="22">
      <c r="A12" s="32" t="inlineStr">
        <is>
          <t>TC-03-01</t>
        </is>
      </c>
      <c r="B12" s="33" t="inlineStr">
        <is>
          <t>UC03 – Tìm trận nhanh (Find-Match)</t>
        </is>
      </c>
      <c r="C12" s="33" t="inlineStr">
        <is>
          <t>Tìm trận Video ghép cặp cùng tier</t>
        </is>
      </c>
      <c r="D12" s="33" t="inlineStr">
        <is>
          <t>Đã đăng nhập; 2 người chơi cùng tier</t>
        </is>
      </c>
      <c r="E12" s="33" t="inlineStr">
        <is>
          <t>1. Chọn chế độ Video
2. Nhấn Tìm trận (cả 2 phiên)</t>
        </is>
      </c>
      <c r="F12" s="33" t="inlineStr">
        <is>
          <t>2 account cùng level</t>
        </is>
      </c>
      <c r="G12" s="33" t="inlineStr">
        <is>
          <t>Ghép cặp, vào phòng chờ ReadyCheck</t>
        </is>
      </c>
      <c r="H12" s="33" t="inlineStr">
        <is>
          <t>Ghép cặp thành công</t>
        </is>
      </c>
      <c r="I12" s="34" t="inlineStr">
        <is>
          <t>Pass</t>
        </is>
      </c>
      <c r="J12" s="32" t="n"/>
      <c r="K12" s="32" t="inlineStr">
        <is>
          <t>Bảo</t>
        </is>
      </c>
    </row>
    <row r="13" ht="23.85" customHeight="1" s="22">
      <c r="A13" s="27" t="inlineStr">
        <is>
          <t>TC-03-02</t>
        </is>
      </c>
      <c r="B13" s="28" t="inlineStr">
        <is>
          <t>UC03 – Tìm trận nhanh (Find-Match)</t>
        </is>
      </c>
      <c r="C13" s="28" t="inlineStr">
        <is>
          <t>Tìm trận Text mode</t>
        </is>
      </c>
      <c r="D13" s="28" t="inlineStr">
        <is>
          <t>Đã đăng nhập; 2 người chơi</t>
        </is>
      </c>
      <c r="E13" s="28" t="inlineStr">
        <is>
          <t>1. Chọn chế độ Text
2. Nhấn Tìm trận (cả 2)</t>
        </is>
      </c>
      <c r="F13" s="28" t="inlineStr">
        <is>
          <t>text_1v1</t>
        </is>
      </c>
      <c r="G13" s="28" t="inlineStr">
        <is>
          <t>Ghép cặp chế độ text, phân phe ngẫu nhiên</t>
        </is>
      </c>
      <c r="H13" s="28" t="inlineStr">
        <is>
          <t>Ghép cặp text thành công</t>
        </is>
      </c>
      <c r="I13" s="29" t="inlineStr">
        <is>
          <t>Pass</t>
        </is>
      </c>
      <c r="J13" s="27" t="n"/>
      <c r="K13" s="27" t="inlineStr">
        <is>
          <t>Bảo</t>
        </is>
      </c>
    </row>
    <row r="14" ht="23.85" customHeight="1" s="22">
      <c r="A14" s="32" t="inlineStr">
        <is>
          <t>TC-03-03</t>
        </is>
      </c>
      <c r="B14" s="33" t="inlineStr">
        <is>
          <t>UC03 – Tìm trận nhanh (Find-Match)</t>
        </is>
      </c>
      <c r="C14" s="33" t="inlineStr">
        <is>
          <t>Hủy tìm trận khi đang chờ</t>
        </is>
      </c>
      <c r="D14" s="33" t="inlineStr">
        <is>
          <t>Đang trong hàng chờ ghép cặp</t>
        </is>
      </c>
      <c r="E14" s="33" t="inlineStr">
        <is>
          <t>1. Nhấn Tìm trận
2. Nhấn Hủy</t>
        </is>
      </c>
      <c r="F14" s="33" t="inlineStr">
        <is>
          <t>—</t>
        </is>
      </c>
      <c r="G14" s="33" t="inlineStr">
        <is>
          <t>Thoát hàng chờ, về lobby</t>
        </is>
      </c>
      <c r="H14" s="33" t="inlineStr">
        <is>
          <t>Về lobby bình thường</t>
        </is>
      </c>
      <c r="I14" s="34" t="inlineStr">
        <is>
          <t>Pass</t>
        </is>
      </c>
      <c r="J14" s="32" t="n"/>
      <c r="K14" s="32" t="inlineStr">
        <is>
          <t>Thanh</t>
        </is>
      </c>
    </row>
    <row r="15" ht="23.85" customHeight="1" s="22">
      <c r="A15" s="27" t="inlineStr">
        <is>
          <t>TC-03-04</t>
        </is>
      </c>
      <c r="B15" s="28" t="inlineStr">
        <is>
          <t>UC03 – Tìm trận nhanh (Find-Match)</t>
        </is>
      </c>
      <c r="C15" s="28" t="inlineStr">
        <is>
          <t>Không có đối thủ trong hàng chờ</t>
        </is>
      </c>
      <c r="D15" s="28" t="inlineStr">
        <is>
          <t>Chỉ 1 người tìm trận</t>
        </is>
      </c>
      <c r="E15" s="28" t="inlineStr">
        <is>
          <t>1. Nhấn Tìm trận
2. Chờ</t>
        </is>
      </c>
      <c r="F15" s="28" t="inlineStr">
        <is>
          <t>1 account</t>
        </is>
      </c>
      <c r="G15" s="28" t="inlineStr">
        <is>
          <t>Hiển thị trạng thái đang chờ, không lỗi</t>
        </is>
      </c>
      <c r="H15" s="28" t="inlineStr">
        <is>
          <t>Hiển thị đang tìm đối thủ</t>
        </is>
      </c>
      <c r="I15" s="29" t="inlineStr">
        <is>
          <t>Pass</t>
        </is>
      </c>
      <c r="J15" s="27" t="n"/>
      <c r="K15" s="27" t="inlineStr">
        <is>
          <t>Thanh</t>
        </is>
      </c>
    </row>
    <row r="16" ht="23.85" customHeight="1" s="22">
      <c r="A16" s="32" t="inlineStr">
        <is>
          <t>TC-03-05</t>
        </is>
      </c>
      <c r="B16" s="33" t="inlineStr">
        <is>
          <t>UC03 – Tìm trận nhanh (Find-Match)</t>
        </is>
      </c>
      <c r="C16" s="33" t="inlineStr">
        <is>
          <t>Mất kết nối WebSocket khi đang chờ ghép</t>
        </is>
      </c>
      <c r="D16" s="33" t="inlineStr">
        <is>
          <t>Đang chờ ghép; mạng yếu</t>
        </is>
      </c>
      <c r="E16" s="33" t="inlineStr">
        <is>
          <t>1. Nhấn Tìm trận
2. Ngắt mạng tạm thời</t>
        </is>
      </c>
      <c r="F16" s="33" t="inlineStr">
        <is>
          <t>mạng chập chờn</t>
        </is>
      </c>
      <c r="G16" s="33" t="inlineStr">
        <is>
          <t>Hệ thống báo mất kết nối &amp; cho thử lại</t>
        </is>
      </c>
      <c r="H16" s="33" t="inlineStr">
        <is>
          <t>Treo ở màn hình chờ, không xử lý timeout</t>
        </is>
      </c>
      <c r="I16" s="30" t="inlineStr">
        <is>
          <t>Fail</t>
        </is>
      </c>
      <c r="J16" s="32" t="inlineStr">
        <is>
          <t>DEF-03</t>
        </is>
      </c>
      <c r="K16" s="32" t="inlineStr">
        <is>
          <t>Thanh</t>
        </is>
      </c>
    </row>
    <row r="17" ht="23.85" customHeight="1" s="22">
      <c r="A17" s="27" t="inlineStr">
        <is>
          <t>TC-04-01</t>
        </is>
      </c>
      <c r="B17" s="28" t="inlineStr">
        <is>
          <t>UC04 – Tranh biện Video 1v1 (Video Debate)</t>
        </is>
      </c>
      <c r="C17" s="28" t="inlineStr">
        <is>
          <t>Hiển thị video 2 bên khi vào phòng</t>
        </is>
      </c>
      <c r="D17" s="28" t="inlineStr">
        <is>
          <t>Đã ghép cặp; cấp quyền camera/mic</t>
        </is>
      </c>
      <c r="E17" s="28" t="inlineStr">
        <is>
          <t>1. Vào phòng
2. Quan sát ô video 2 người</t>
        </is>
      </c>
      <c r="F17" s="28" t="inlineStr">
        <is>
          <t>2 máy có webcam</t>
        </is>
      </c>
      <c r="G17" s="28" t="inlineStr">
        <is>
          <t>Thấy video của cả 2 người chơi</t>
        </is>
      </c>
      <c r="H17" s="28" t="inlineStr">
        <is>
          <t>Đôi khi video đối thủ chưa hiện do stream attach trễ</t>
        </is>
      </c>
      <c r="I17" s="31" t="inlineStr">
        <is>
          <t>Fail</t>
        </is>
      </c>
      <c r="J17" s="27" t="inlineStr">
        <is>
          <t>DEF-01</t>
        </is>
      </c>
      <c r="K17" s="27" t="inlineStr">
        <is>
          <t>Thịnh</t>
        </is>
      </c>
    </row>
    <row r="18" ht="23.85" customHeight="1" s="22">
      <c r="A18" s="32" t="inlineStr">
        <is>
          <t>TC-04-02</t>
        </is>
      </c>
      <c r="B18" s="33" t="inlineStr">
        <is>
          <t>UC04 – Tranh biện Video 1v1 (Video Debate)</t>
        </is>
      </c>
      <c r="C18" s="33" t="inlineStr">
        <is>
          <t>Speech-to-text tiếng Việt</t>
        </is>
      </c>
      <c r="D18" s="33" t="inlineStr">
        <is>
          <t>Trong phòng debate, mic bật</t>
        </is>
      </c>
      <c r="E18" s="33" t="inlineStr">
        <is>
          <t>1. Nói 1 câu tiếng Việt
2. Xem transcript</t>
        </is>
      </c>
      <c r="F18" s="33" t="inlineStr">
        <is>
          <t>Giọng nói tiếng Việt</t>
        </is>
      </c>
      <c r="G18" s="33" t="inlineStr">
        <is>
          <t>Sinh transcript tiếng Việt đúng</t>
        </is>
      </c>
      <c r="H18" s="33" t="inlineStr">
        <is>
          <t>Không nhận tiếng Việt khi locale browser khác vi-VN</t>
        </is>
      </c>
      <c r="I18" s="30" t="inlineStr">
        <is>
          <t>Fail</t>
        </is>
      </c>
      <c r="J18" s="32" t="inlineStr">
        <is>
          <t>DEF-02</t>
        </is>
      </c>
      <c r="K18" s="32" t="inlineStr">
        <is>
          <t>Thịnh</t>
        </is>
      </c>
    </row>
    <row r="19" ht="23.85" customHeight="1" s="22">
      <c r="A19" s="27" t="inlineStr">
        <is>
          <t>TC-04-03</t>
        </is>
      </c>
      <c r="B19" s="28" t="inlineStr">
        <is>
          <t>UC04 – Tranh biện Video 1v1 (Video Debate)</t>
        </is>
      </c>
      <c r="C19" s="28" t="inlineStr">
        <is>
          <t>Từ chối quyền camera/mic</t>
        </is>
      </c>
      <c r="D19" s="28" t="inlineStr">
        <is>
          <t>Vào phòng video</t>
        </is>
      </c>
      <c r="E19" s="28" t="inlineStr">
        <is>
          <t>1. Vào phòng
2. Chọn 'Chặn' quyền camera/mic</t>
        </is>
      </c>
      <c r="F19" s="28" t="inlineStr">
        <is>
          <t>deny permission</t>
        </is>
      </c>
      <c r="G19" s="28" t="inlineStr">
        <is>
          <t>Báo lỗi, chế độ video không chạy</t>
        </is>
      </c>
      <c r="H19" s="28" t="inlineStr">
        <is>
          <t>Thông báo cần cấp quyền</t>
        </is>
      </c>
      <c r="I19" s="29" t="inlineStr">
        <is>
          <t>Pass</t>
        </is>
      </c>
      <c r="J19" s="27" t="n"/>
      <c r="K19" s="27" t="inlineStr">
        <is>
          <t>Linh</t>
        </is>
      </c>
    </row>
    <row r="20" ht="23.85" customHeight="1" s="22">
      <c r="A20" s="32" t="inlineStr">
        <is>
          <t>TC-04-04</t>
        </is>
      </c>
      <c r="B20" s="33" t="inlineStr">
        <is>
          <t>UC04 – Tranh biện Video 1v1 (Video Debate)</t>
        </is>
      </c>
      <c r="C20" s="33" t="inlineStr">
        <is>
          <t>Bật/tắt mic và camera</t>
        </is>
      </c>
      <c r="D20" s="33" t="inlineStr">
        <is>
          <t>Đang trong phòng</t>
        </is>
      </c>
      <c r="E20" s="33" t="inlineStr">
        <is>
          <t>1. Nhấn nút tắt mic
2. Nhấn tắt camera</t>
        </is>
      </c>
      <c r="F20" s="33" t="inlineStr">
        <is>
          <t>—</t>
        </is>
      </c>
      <c r="G20" s="33" t="inlineStr">
        <is>
          <t>Mic/camera bật tắt đúng trạng thái</t>
        </is>
      </c>
      <c r="H20" s="33" t="inlineStr">
        <is>
          <t>Controls hoạt động đúng</t>
        </is>
      </c>
      <c r="I20" s="34" t="inlineStr">
        <is>
          <t>Pass</t>
        </is>
      </c>
      <c r="J20" s="32" t="n"/>
      <c r="K20" s="32" t="inlineStr">
        <is>
          <t>Linh</t>
        </is>
      </c>
    </row>
    <row r="21" ht="23.85" customHeight="1" s="22">
      <c r="A21" s="27" t="inlineStr">
        <is>
          <t>TC-04-05</t>
        </is>
      </c>
      <c r="B21" s="28" t="inlineStr">
        <is>
          <t>UC04 – Tranh biện Video 1v1 (Video Debate)</t>
        </is>
      </c>
      <c r="C21" s="28" t="inlineStr">
        <is>
          <t>Chạy Video Debate trên Firefox</t>
        </is>
      </c>
      <c r="D21" s="28" t="inlineStr">
        <is>
          <t>Mở app bằng Firefox</t>
        </is>
      </c>
      <c r="E21" s="28" t="inlineStr">
        <is>
          <t>1. Vào phòng video trên Firefox
2. Thử nói</t>
        </is>
      </c>
      <c r="F21" s="28" t="inlineStr">
        <is>
          <t>Firefox browser</t>
        </is>
      </c>
      <c r="G21" s="28" t="inlineStr">
        <is>
          <t>Cảnh báo trình duyệt không hỗ trợ</t>
        </is>
      </c>
      <c r="H21" s="28" t="inlineStr">
        <is>
          <t>Speech API không chạy trên Firefox</t>
        </is>
      </c>
      <c r="I21" s="31" t="inlineStr">
        <is>
          <t>Fail</t>
        </is>
      </c>
      <c r="J21" s="27" t="inlineStr">
        <is>
          <t>DEF-04</t>
        </is>
      </c>
      <c r="K21" s="27" t="inlineStr">
        <is>
          <t>Bảo</t>
        </is>
      </c>
    </row>
    <row r="22" ht="23.85" customHeight="1" s="22">
      <c r="A22" s="32" t="inlineStr">
        <is>
          <t>TC-05-01</t>
        </is>
      </c>
      <c r="B22" s="33" t="inlineStr">
        <is>
          <t>UC05 – Nhận cảnh báo ngụy biện (Fallacy Alert)</t>
        </is>
      </c>
      <c r="C22" s="33" t="inlineStr">
        <is>
          <t>Phát hiện ngụy biện ad hominem</t>
        </is>
      </c>
      <c r="D22" s="33" t="inlineStr">
        <is>
          <t>Đang trong trận, có transcript</t>
        </is>
      </c>
      <c r="E22" s="33" t="inlineStr">
        <is>
          <t>1. Nói câu công kích cá nhân
2. Chờ phân tích</t>
        </is>
      </c>
      <c r="F22" s="33" t="inlineStr">
        <is>
          <t>'Anh dốt nên lập luận sai'</t>
        </is>
      </c>
      <c r="G22" s="33" t="inlineStr">
        <is>
          <t>Hiện pop-up FallacyAlert 'Công kích cá nhân'</t>
        </is>
      </c>
      <c r="H22" s="33" t="inlineStr">
        <is>
          <t>Hiện cảnh báo đúng loại</t>
        </is>
      </c>
      <c r="I22" s="34" t="inlineStr">
        <is>
          <t>Pass</t>
        </is>
      </c>
      <c r="J22" s="32" t="n"/>
      <c r="K22" s="32" t="inlineStr">
        <is>
          <t>Thịnh</t>
        </is>
      </c>
    </row>
    <row r="23" ht="23.85" customHeight="1" s="22">
      <c r="A23" s="27" t="inlineStr">
        <is>
          <t>TC-05-02</t>
        </is>
      </c>
      <c r="B23" s="28" t="inlineStr">
        <is>
          <t>UC05 – Nhận cảnh báo ngụy biện (Fallacy Alert)</t>
        </is>
      </c>
      <c r="C23" s="28" t="inlineStr">
        <is>
          <t>Câu quá ngắn (&lt;10 ký tự) bị bỏ qua</t>
        </is>
      </c>
      <c r="D23" s="28" t="inlineStr">
        <is>
          <t>Đang trong trận</t>
        </is>
      </c>
      <c r="E23" s="28" t="inlineStr">
        <is>
          <t>1. Nói/gõ 1 câu rất ngắn</t>
        </is>
      </c>
      <c r="F23" s="28" t="inlineStr">
        <is>
          <t>'Ừ'</t>
        </is>
      </c>
      <c r="G23" s="28" t="inlineStr">
        <is>
          <t>Không phân tích, không cảnh báo</t>
        </is>
      </c>
      <c r="H23" s="28" t="inlineStr">
        <is>
          <t>Bỏ qua đúng</t>
        </is>
      </c>
      <c r="I23" s="29" t="inlineStr">
        <is>
          <t>Pass</t>
        </is>
      </c>
      <c r="J23" s="27" t="n"/>
      <c r="K23" s="27" t="inlineStr">
        <is>
          <t>Thịnh</t>
        </is>
      </c>
    </row>
    <row r="24" ht="23.85" customHeight="1" s="22">
      <c r="A24" s="32" t="inlineStr">
        <is>
          <t>TC-05-03</t>
        </is>
      </c>
      <c r="B24" s="33" t="inlineStr">
        <is>
          <t>UC05 – Nhận cảnh báo ngụy biện (Fallacy Alert)</t>
        </is>
      </c>
      <c r="C24" s="33" t="inlineStr">
        <is>
          <t>Câu không ngụy biện</t>
        </is>
      </c>
      <c r="D24" s="33" t="inlineStr">
        <is>
          <t>Đang trong trận</t>
        </is>
      </c>
      <c r="E24" s="33" t="inlineStr">
        <is>
          <t>1. Nói câu lập luận hợp lệ</t>
        </is>
      </c>
      <c r="F24" s="33" t="inlineStr">
        <is>
          <t>câu hợp lý</t>
        </is>
      </c>
      <c r="G24" s="33" t="inlineStr">
        <is>
          <t>Không hiển thị cảnh báo ngụy biện</t>
        </is>
      </c>
      <c r="H24" s="33" t="inlineStr">
        <is>
          <t>Không cảnh báo</t>
        </is>
      </c>
      <c r="I24" s="34" t="inlineStr">
        <is>
          <t>Pass</t>
        </is>
      </c>
      <c r="J24" s="32" t="n"/>
      <c r="K24" s="32" t="inlineStr">
        <is>
          <t>Linh</t>
        </is>
      </c>
    </row>
    <row r="25" ht="23.85" customHeight="1" s="22">
      <c r="A25" s="27" t="inlineStr">
        <is>
          <t>TC-05-04</t>
        </is>
      </c>
      <c r="B25" s="28" t="inlineStr">
        <is>
          <t>UC05 – Nhận cảnh báo ngụy biện (Fallacy Alert)</t>
        </is>
      </c>
      <c r="C25" s="28" t="inlineStr">
        <is>
          <t>Fallback Gemini khi AI service offline</t>
        </is>
      </c>
      <c r="D25" s="28" t="inlineStr">
        <is>
          <t>AI_SERVICE_URL không cấu hình</t>
        </is>
      </c>
      <c r="E25" s="28" t="inlineStr">
        <is>
          <t>1. Nói câu ngụy biện
2. Chờ kết quả</t>
        </is>
      </c>
      <c r="F25" s="28" t="inlineStr">
        <is>
          <t>service offline</t>
        </is>
      </c>
      <c r="G25" s="28" t="inlineStr">
        <is>
          <t>Backend fallback Gemini vẫn trả kết quả</t>
        </is>
      </c>
      <c r="H25" s="28" t="inlineStr">
        <is>
          <t>Fallback Gemini hoạt động</t>
        </is>
      </c>
      <c r="I25" s="29" t="inlineStr">
        <is>
          <t>Pass</t>
        </is>
      </c>
      <c r="J25" s="27" t="n"/>
      <c r="K25" s="27" t="inlineStr">
        <is>
          <t>Bảo</t>
        </is>
      </c>
    </row>
    <row r="26" ht="23.85" customHeight="1" s="22">
      <c r="A26" s="32" t="inlineStr">
        <is>
          <t>TC-05-05</t>
        </is>
      </c>
      <c r="B26" s="33" t="inlineStr">
        <is>
          <t>UC05 – Nhận cảnh báo ngụy biện (Fallacy Alert)</t>
        </is>
      </c>
      <c r="C26" s="33" t="inlineStr">
        <is>
          <t>Hiển thị nhãn tiếng Việt</t>
        </is>
      </c>
      <c r="D26" s="33" t="inlineStr">
        <is>
          <t>Có cảnh báo ngụy biện</t>
        </is>
      </c>
      <c r="E26" s="33" t="inlineStr">
        <is>
          <t>1. Gây một ngụy biện
2. Xem nhãn hiển thị</t>
        </is>
      </c>
      <c r="F26" s="33" t="inlineStr">
        <is>
          <t>—</t>
        </is>
      </c>
      <c r="G26" s="33" t="inlineStr">
        <is>
          <t>Nhãn hiển thị tiếng Việt (LABEL_VI)</t>
        </is>
      </c>
      <c r="H26" s="33" t="inlineStr">
        <is>
          <t>Nhãn tiếng Việt đúng</t>
        </is>
      </c>
      <c r="I26" s="34" t="inlineStr">
        <is>
          <t>Pass</t>
        </is>
      </c>
      <c r="J26" s="32" t="n"/>
      <c r="K26" s="32" t="inlineStr">
        <is>
          <t>Bảo</t>
        </is>
      </c>
    </row>
    <row r="27" ht="23.85" customHeight="1" s="22">
      <c r="A27" s="27" t="inlineStr">
        <is>
          <t>TC-06-01</t>
        </is>
      </c>
      <c r="B27" s="28" t="inlineStr">
        <is>
          <t>UC06 – Xem Scoreboard &amp; phân tích sau trận</t>
        </is>
      </c>
      <c r="C27" s="28" t="inlineStr">
        <is>
          <t>Hiển thị Scoreboard cuối trận</t>
        </is>
      </c>
      <c r="D27" s="28" t="inlineStr">
        <is>
          <t>Trận vừa kết thúc</t>
        </is>
      </c>
      <c r="E27" s="28" t="inlineStr">
        <is>
          <t>1. Kết thúc trận
2. Xem Scoreboard</t>
        </is>
      </c>
      <c r="F27" s="28" t="inlineStr">
        <is>
          <t>—</t>
        </is>
      </c>
      <c r="G27" s="28" t="inlineStr">
        <is>
          <t>Hiện điểm tổng của 2 người chơi</t>
        </is>
      </c>
      <c r="H27" s="28" t="inlineStr">
        <is>
          <t>Scoreboard hiển thị điểm</t>
        </is>
      </c>
      <c r="I27" s="29" t="inlineStr">
        <is>
          <t>Pass</t>
        </is>
      </c>
      <c r="J27" s="27" t="n"/>
      <c r="K27" s="27" t="inlineStr">
        <is>
          <t>Thịnh</t>
        </is>
      </c>
    </row>
    <row r="28" ht="23.85" customHeight="1" s="22">
      <c r="A28" s="32" t="inlineStr">
        <is>
          <t>TC-06-02</t>
        </is>
      </c>
      <c r="B28" s="33" t="inlineStr">
        <is>
          <t>UC06 – Xem Scoreboard &amp; phân tích sau trận</t>
        </is>
      </c>
      <c r="C28" s="33" t="inlineStr">
        <is>
          <t>Nhận xét chi tiết từng tiêu chí</t>
        </is>
      </c>
      <c r="D28" s="33" t="inlineStr">
        <is>
          <t>Ở màn Scoreboard</t>
        </is>
      </c>
      <c r="E28" s="33" t="inlineStr">
        <is>
          <t>1. Xem phần nhận xét AI</t>
        </is>
      </c>
      <c r="F28" s="33" t="inlineStr">
        <is>
          <t>—</t>
        </is>
      </c>
      <c r="G28" s="33" t="inlineStr">
        <is>
          <t>Có nhận xét cho logic/dẫn chứng/diễn đạt</t>
        </is>
      </c>
      <c r="H28" s="33" t="inlineStr">
        <is>
          <t>Có nhận xét chi tiết</t>
        </is>
      </c>
      <c r="I28" s="34" t="inlineStr">
        <is>
          <t>Pass</t>
        </is>
      </c>
      <c r="J28" s="32" t="n"/>
      <c r="K28" s="32" t="inlineStr">
        <is>
          <t>Thịnh</t>
        </is>
      </c>
    </row>
    <row r="29" ht="23.85" customHeight="1" s="22">
      <c r="A29" s="27" t="inlineStr">
        <is>
          <t>TC-06-03</t>
        </is>
      </c>
      <c r="B29" s="28" t="inlineStr">
        <is>
          <t>UC06 – Xem Scoreboard &amp; phân tích sau trận</t>
        </is>
      </c>
      <c r="C29" s="28" t="inlineStr">
        <is>
          <t>Tuyên bố người thắng đúng điểm</t>
        </is>
      </c>
      <c r="D29" s="28" t="inlineStr">
        <is>
          <t>Ở màn Scoreboard</t>
        </is>
      </c>
      <c r="E29" s="28" t="inlineStr">
        <is>
          <t>1. So điểm 2 bên
2. Xem người thắng</t>
        </is>
      </c>
      <c r="F29" s="28" t="inlineStr">
        <is>
          <t>—</t>
        </is>
      </c>
      <c r="G29" s="28" t="inlineStr">
        <is>
          <t>Người điểm cao hơn được tuyên thắng</t>
        </is>
      </c>
      <c r="H29" s="28" t="inlineStr">
        <is>
          <t>Người thắng đúng</t>
        </is>
      </c>
      <c r="I29" s="29" t="inlineStr">
        <is>
          <t>Pass</t>
        </is>
      </c>
      <c r="J29" s="27" t="n"/>
      <c r="K29" s="27" t="inlineStr">
        <is>
          <t>Linh</t>
        </is>
      </c>
    </row>
    <row r="30" ht="23.85" customHeight="1" s="22">
      <c r="A30" s="32" t="inlineStr">
        <is>
          <t>TC-06-04</t>
        </is>
      </c>
      <c r="B30" s="33" t="inlineStr">
        <is>
          <t>UC06 – Xem Scoreboard &amp; phân tích sau trận</t>
        </is>
      </c>
      <c r="C30" s="33" t="inlineStr">
        <is>
          <t>Lưu kết quả vào lịch sử</t>
        </is>
      </c>
      <c r="D30" s="33" t="inlineStr">
        <is>
          <t>Trận kết thúc, đã đăng nhập</t>
        </is>
      </c>
      <c r="E30" s="33" t="inlineStr">
        <is>
          <t>1. Kết thúc trận
2. Mở lịch sử ở Dashboard</t>
        </is>
      </c>
      <c r="F30" s="33" t="inlineStr">
        <is>
          <t>—</t>
        </is>
      </c>
      <c r="G30" s="33" t="inlineStr">
        <is>
          <t>Trận mới xuất hiện trong lịch sử (PostgreSQL)</t>
        </is>
      </c>
      <c r="H30" s="33" t="inlineStr">
        <is>
          <t>Lưu lịch sử thành công</t>
        </is>
      </c>
      <c r="I30" s="34" t="inlineStr">
        <is>
          <t>Pass</t>
        </is>
      </c>
      <c r="J30" s="32" t="n"/>
      <c r="K30" s="32" t="inlineStr">
        <is>
          <t>Bảo</t>
        </is>
      </c>
    </row>
    <row r="31" ht="23.85" customHeight="1" s="22">
      <c r="A31" s="27" t="inlineStr">
        <is>
          <t>TC-06-05</t>
        </is>
      </c>
      <c r="B31" s="28" t="inlineStr">
        <is>
          <t>UC06 – Xem Scoreboard &amp; phân tích sau trận</t>
        </is>
      </c>
      <c r="C31" s="28" t="inlineStr">
        <is>
          <t>Chấm điểm khi Gemini bị rate limit</t>
        </is>
      </c>
      <c r="D31" s="28" t="inlineStr">
        <is>
          <t>Nhiều trận đồng thời, quota thấp</t>
        </is>
      </c>
      <c r="E31" s="28" t="inlineStr">
        <is>
          <t>1. Kết thúc nhiều trận cùng lúc</t>
        </is>
      </c>
      <c r="F31" s="28" t="inlineStr">
        <is>
          <t>free-tier quota</t>
        </is>
      </c>
      <c r="G31" s="28" t="inlineStr">
        <is>
          <t>Vẫn chấm điểm hoặc báo lỗi rõ ràng</t>
        </is>
      </c>
      <c r="H31" s="28" t="inlineStr">
        <is>
          <t>Chấm điểm lỗi/không hiện khi bị rate limit</t>
        </is>
      </c>
      <c r="I31" s="31" t="inlineStr">
        <is>
          <t>Fail</t>
        </is>
      </c>
      <c r="J31" s="27" t="inlineStr">
        <is>
          <t>DEF-05</t>
        </is>
      </c>
      <c r="K31" s="27" t="inlineStr">
        <is>
          <t>Bảo</t>
        </is>
      </c>
    </row>
    <row r="32" ht="23.85" customHeight="1" s="22">
      <c r="A32" s="32" t="inlineStr">
        <is>
          <t>TC-07-01</t>
        </is>
      </c>
      <c r="B32" s="33" t="inlineStr">
        <is>
          <t>UC07 – Luyện tập với AI (Solo Mode)</t>
        </is>
      </c>
      <c r="C32" s="33" t="inlineStr">
        <is>
          <t>Bắt đầu Solo vs AI (text)</t>
        </is>
      </c>
      <c r="D32" s="33" t="inlineStr">
        <is>
          <t>Đã đăng nhập</t>
        </is>
      </c>
      <c r="E32" s="33" t="inlineStr">
        <is>
          <t>1. Chọn Solo Mode
2. Bắt đầu trận với AI</t>
        </is>
      </c>
      <c r="F32" s="33" t="inlineStr">
        <is>
          <t>—</t>
        </is>
      </c>
      <c r="G32" s="33" t="inlineStr">
        <is>
          <t>Vào phòng tranh biện với Gemini</t>
        </is>
      </c>
      <c r="H32" s="33" t="inlineStr">
        <is>
          <t>Vào trận Solo thành công</t>
        </is>
      </c>
      <c r="I32" s="34" t="inlineStr">
        <is>
          <t>Pass</t>
        </is>
      </c>
      <c r="J32" s="32" t="n"/>
      <c r="K32" s="32" t="inlineStr">
        <is>
          <t>Thanh</t>
        </is>
      </c>
    </row>
    <row r="33" ht="23.85" customHeight="1" s="22">
      <c r="A33" s="27" t="inlineStr">
        <is>
          <t>TC-07-02</t>
        </is>
      </c>
      <c r="B33" s="28" t="inlineStr">
        <is>
          <t>UC07 – Luyện tập với AI (Solo Mode)</t>
        </is>
      </c>
      <c r="C33" s="28" t="inlineStr">
        <is>
          <t>AI phản hồi và phân tích inline</t>
        </is>
      </c>
      <c r="D33" s="28" t="inlineStr">
        <is>
          <t>Đang trong trận Solo</t>
        </is>
      </c>
      <c r="E33" s="28" t="inlineStr">
        <is>
          <t>1. Gõ 1 lập luận
2. Gửi</t>
        </is>
      </c>
      <c r="F33" s="28" t="inlineStr">
        <is>
          <t>'Tôi cho rằng...'</t>
        </is>
      </c>
      <c r="G33" s="28" t="inlineStr">
        <is>
          <t>AI phản hồi + phân tích ngụy biện lượt đó</t>
        </is>
      </c>
      <c r="H33" s="28" t="inlineStr">
        <is>
          <t>AI phản hồi + phân tích</t>
        </is>
      </c>
      <c r="I33" s="29" t="inlineStr">
        <is>
          <t>Pass</t>
        </is>
      </c>
      <c r="J33" s="27" t="n"/>
      <c r="K33" s="27" t="inlineStr">
        <is>
          <t>Thanh</t>
        </is>
      </c>
    </row>
    <row r="34" ht="23.85" customHeight="1" s="22">
      <c r="A34" s="32" t="inlineStr">
        <is>
          <t>TC-07-03</t>
        </is>
      </c>
      <c r="B34" s="33" t="inlineStr">
        <is>
          <t>UC07 – Luyện tập với AI (Solo Mode)</t>
        </is>
      </c>
      <c r="C34" s="33" t="inlineStr">
        <is>
          <t>Tự kết thúc khi hết thời gian</t>
        </is>
      </c>
      <c r="D34" s="33" t="inlineStr">
        <is>
          <t>Đang trong trận Solo/Text</t>
        </is>
      </c>
      <c r="E34" s="33" t="inlineStr">
        <is>
          <t>1. Chờ hết 30 phút</t>
        </is>
      </c>
      <c r="F34" s="33" t="inlineStr">
        <is>
          <t>timer 30'</t>
        </is>
      </c>
      <c r="G34" s="33" t="inlineStr">
        <is>
          <t>Trận tự kết thúc và chấm điểm</t>
        </is>
      </c>
      <c r="H34" s="33" t="inlineStr">
        <is>
          <t>Tự kết thúc &amp; chấm điểm</t>
        </is>
      </c>
      <c r="I34" s="34" t="inlineStr">
        <is>
          <t>Pass</t>
        </is>
      </c>
      <c r="J34" s="32" t="n"/>
      <c r="K34" s="32" t="inlineStr">
        <is>
          <t>Linh</t>
        </is>
      </c>
    </row>
    <row r="35" ht="23.85" customHeight="1" s="22">
      <c r="A35" s="27" t="inlineStr">
        <is>
          <t>TC-07-04</t>
        </is>
      </c>
      <c r="B35" s="28" t="inlineStr">
        <is>
          <t>UC07 – Luyện tập với AI (Solo Mode)</t>
        </is>
      </c>
      <c r="C35" s="28" t="inlineStr">
        <is>
          <t>Sinh chủ đề ngẫu nhiên</t>
        </is>
      </c>
      <c r="D35" s="28" t="inlineStr">
        <is>
          <t>Bắt đầu trận mới</t>
        </is>
      </c>
      <c r="E35" s="28" t="inlineStr">
        <is>
          <t>1. Bắt đầu Solo Mode</t>
        </is>
      </c>
      <c r="F35" s="28" t="inlineStr">
        <is>
          <t>—</t>
        </is>
      </c>
      <c r="G35" s="28" t="inlineStr">
        <is>
          <t>Hệ thống sinh random topic hợp lệ</t>
        </is>
      </c>
      <c r="H35" s="28" t="inlineStr">
        <is>
          <t>Có chủ đề ngẫu nhiên</t>
        </is>
      </c>
      <c r="I35" s="29" t="inlineStr">
        <is>
          <t>Pass</t>
        </is>
      </c>
      <c r="J35" s="27" t="n"/>
      <c r="K35" s="27" t="inlineStr">
        <is>
          <t>Linh</t>
        </is>
      </c>
    </row>
    <row r="36" ht="23.85" customHeight="1" s="22">
      <c r="A36" s="32" t="inlineStr">
        <is>
          <t>TC-07-05</t>
        </is>
      </c>
      <c r="B36" s="33" t="inlineStr">
        <is>
          <t>UC07 – Luyện tập với AI (Solo Mode)</t>
        </is>
      </c>
      <c r="C36" s="33" t="inlineStr">
        <is>
          <t>Phát hiện nội dung copy từ AI</t>
        </is>
      </c>
      <c r="D36" s="33" t="inlineStr">
        <is>
          <t>Đang trong trận text</t>
        </is>
      </c>
      <c r="E36" s="33" t="inlineStr">
        <is>
          <t>1. Dán 1 đoạn văn kiểu ChatGPT
2. Gửi</t>
        </is>
      </c>
      <c r="F36" s="33" t="inlineStr">
        <is>
          <t>đoạn văn AI</t>
        </is>
      </c>
      <c r="G36" s="33" t="inlineStr">
        <is>
          <t>Cảnh báo is_ai_generated</t>
        </is>
      </c>
      <c r="H36" s="33" t="inlineStr">
        <is>
          <t>Cảnh báo nội dung AI</t>
        </is>
      </c>
      <c r="I36" s="34" t="inlineStr">
        <is>
          <t>Pass</t>
        </is>
      </c>
      <c r="J36" s="32" t="n"/>
      <c r="K36" s="32" t="inlineStr">
        <is>
          <t>Bảo</t>
        </is>
      </c>
    </row>
    <row r="37" ht="23.85" customHeight="1" s="22">
      <c r="A37" s="27" t="inlineStr">
        <is>
          <t>TC-08-01</t>
        </is>
      </c>
      <c r="B37" s="28" t="inlineStr">
        <is>
          <t>UC08 – Xem lịch sử trận &amp; ELO</t>
        </is>
      </c>
      <c r="C37" s="28" t="inlineStr">
        <is>
          <t>Xem lịch sử trận trong Dashboard</t>
        </is>
      </c>
      <c r="D37" s="28" t="inlineStr">
        <is>
          <t>Đã đăng nhập, có ≥1 trận</t>
        </is>
      </c>
      <c r="E37" s="28" t="inlineStr">
        <is>
          <t>1. Mở Dashboard
2. Vào tab Lịch sử</t>
        </is>
      </c>
      <c r="F37" s="28" t="inlineStr">
        <is>
          <t>—</t>
        </is>
      </c>
      <c r="G37" s="28" t="inlineStr">
        <is>
          <t>Danh sách các trận đã chơi hiển thị</t>
        </is>
      </c>
      <c r="H37" s="28" t="inlineStr">
        <is>
          <t>Lịch sử hiển thị đúng</t>
        </is>
      </c>
      <c r="I37" s="29" t="inlineStr">
        <is>
          <t>Pass</t>
        </is>
      </c>
      <c r="J37" s="27" t="n"/>
      <c r="K37" s="27" t="inlineStr">
        <is>
          <t>Thịnh</t>
        </is>
      </c>
    </row>
    <row r="38" ht="23.85" customHeight="1" s="22">
      <c r="A38" s="32" t="inlineStr">
        <is>
          <t>TC-08-02</t>
        </is>
      </c>
      <c r="B38" s="33" t="inlineStr">
        <is>
          <t>UC08 – Xem lịch sử trận &amp; ELO</t>
        </is>
      </c>
      <c r="C38" s="33" t="inlineStr">
        <is>
          <t>Bảng xếp hạng leaderboard</t>
        </is>
      </c>
      <c r="D38" s="33" t="inlineStr">
        <is>
          <t>Đã đăng nhập</t>
        </is>
      </c>
      <c r="E38" s="33" t="inlineStr">
        <is>
          <t>1. Mở tab Bảng xếp hạng</t>
        </is>
      </c>
      <c r="F38" s="33" t="inlineStr">
        <is>
          <t>—</t>
        </is>
      </c>
      <c r="G38" s="33" t="inlineStr">
        <is>
          <t>Leaderboard hiển thị theo điểm/ELO</t>
        </is>
      </c>
      <c r="H38" s="33" t="inlineStr">
        <is>
          <t>Leaderboard đúng thứ hạng</t>
        </is>
      </c>
      <c r="I38" s="34" t="inlineStr">
        <is>
          <t>Pass</t>
        </is>
      </c>
      <c r="J38" s="32" t="n"/>
      <c r="K38" s="32" t="inlineStr">
        <is>
          <t>Thịnh</t>
        </is>
      </c>
    </row>
    <row r="39" ht="35.05" customHeight="1" s="22">
      <c r="A39" s="27" t="inlineStr">
        <is>
          <t>TC-08-03</t>
        </is>
      </c>
      <c r="B39" s="28" t="inlineStr">
        <is>
          <t>UC08 – Xem lịch sử trận &amp; ELO</t>
        </is>
      </c>
      <c r="C39" s="28" t="inlineStr">
        <is>
          <t>ELO cập nhật sau trận</t>
        </is>
      </c>
      <c r="D39" s="28" t="inlineStr">
        <is>
          <t>Vừa kết thúc 1 trận</t>
        </is>
      </c>
      <c r="E39" s="28" t="inlineStr">
        <is>
          <t>1. Ghi điểm ELO trước
2. Chơi 1 trận
3. Xem lại ELO</t>
        </is>
      </c>
      <c r="F39" s="28" t="inlineStr">
        <is>
          <t>—</t>
        </is>
      </c>
      <c r="G39" s="28" t="inlineStr">
        <is>
          <t>ELO/điểm được cập nhật</t>
        </is>
      </c>
      <c r="H39" s="28" t="inlineStr">
        <is>
          <t>ELO cập nhật sau trận</t>
        </is>
      </c>
      <c r="I39" s="29" t="inlineStr">
        <is>
          <t>Pass</t>
        </is>
      </c>
      <c r="J39" s="27" t="n"/>
      <c r="K39" s="27" t="inlineStr">
        <is>
          <t>Linh</t>
        </is>
      </c>
    </row>
    <row r="40" ht="23.85" customHeight="1" s="22">
      <c r="A40" s="32" t="inlineStr">
        <is>
          <t>TC-08-04</t>
        </is>
      </c>
      <c r="B40" s="33" t="inlineStr">
        <is>
          <t>UC08 – Xem lịch sử trận &amp; ELO</t>
        </is>
      </c>
      <c r="C40" s="33" t="inlineStr">
        <is>
          <t>Người chơi mới chưa có trận</t>
        </is>
      </c>
      <c r="D40" s="33" t="inlineStr">
        <is>
          <t>Tài khoản mới đăng ký</t>
        </is>
      </c>
      <c r="E40" s="33" t="inlineStr">
        <is>
          <t>1. Đăng nhập tài khoản mới
2. Mở Lịch sử</t>
        </is>
      </c>
      <c r="F40" s="33" t="inlineStr">
        <is>
          <t>account mới</t>
        </is>
      </c>
      <c r="G40" s="33" t="inlineStr">
        <is>
          <t>Lịch sử trống, không lỗi</t>
        </is>
      </c>
      <c r="H40" s="33" t="inlineStr">
        <is>
          <t>Hiển thị trống, không lỗi</t>
        </is>
      </c>
      <c r="I40" s="34" t="inlineStr">
        <is>
          <t>Pass</t>
        </is>
      </c>
      <c r="J40" s="32" t="n"/>
      <c r="K40" s="32" t="inlineStr">
        <is>
          <t>Bảo</t>
        </is>
      </c>
    </row>
    <row r="41" ht="23.85" customHeight="1" s="22">
      <c r="A41" s="27" t="inlineStr">
        <is>
          <t>TC-08-05</t>
        </is>
      </c>
      <c r="B41" s="28" t="inlineStr">
        <is>
          <t>UC08 – Xem lịch sử trận &amp; ELO</t>
        </is>
      </c>
      <c r="C41" s="28" t="inlineStr">
        <is>
          <t>Xem chi tiết một trận</t>
        </is>
      </c>
      <c r="D41" s="28" t="inlineStr">
        <is>
          <t>Có trận trong lịch sử</t>
        </is>
      </c>
      <c r="E41" s="28" t="inlineStr">
        <is>
          <t>1. Nhấn vào 1 trận
2. Xem chi tiết</t>
        </is>
      </c>
      <c r="F41" s="28" t="inlineStr">
        <is>
          <t>—</t>
        </is>
      </c>
      <c r="G41" s="28" t="inlineStr">
        <is>
          <t>Hiện transcript, điểm, ngụy biện của trận</t>
        </is>
      </c>
      <c r="H41" s="28" t="inlineStr">
        <is>
          <t>Xem chi tiết trận đúng</t>
        </is>
      </c>
      <c r="I41" s="29" t="inlineStr">
        <is>
          <t>Pass</t>
        </is>
      </c>
      <c r="J41" s="27" t="n"/>
      <c r="K41" s="27" t="inlineStr">
        <is>
          <t>Bảo</t>
        </is>
      </c>
    </row>
    <row r="42">
      <c r="A42" s="32" t="inlineStr">
        <is>
          <t>TC-09-01</t>
        </is>
      </c>
      <c r="B42" s="33" t="inlineStr">
        <is>
          <t>UC09 – Xem trực tiếp trận đấu (Spectate Live Debate)</t>
        </is>
      </c>
      <c r="C42" s="33" t="inlineStr">
        <is>
          <t>Xem danh sách phòng đang diễn ra</t>
        </is>
      </c>
      <c r="D42" s="33" t="inlineStr">
        <is>
          <t>Đã đăng nhập; có ít nhất 1 phòng public đang debate</t>
        </is>
      </c>
      <c r="E42" s="33" t="inlineStr">
        <is>
          <t>1. Vào tab 'Live' trong Dashboard
2. Quan sát danh sách phòng</t>
        </is>
      </c>
      <c r="F42" s="33" t="inlineStr">
        <is>
          <t>—</t>
        </is>
      </c>
      <c r="G42" s="33" t="inlineStr">
        <is>
          <t>Danh sách phòng public đang hoạt động hiển thị đầy đủ</t>
        </is>
      </c>
      <c r="H42" s="33" t="inlineStr">
        <is>
          <t>Danh sách phòng hiển thị đúng</t>
        </is>
      </c>
      <c r="I42" s="34" t="inlineStr">
        <is>
          <t>Pass</t>
        </is>
      </c>
      <c r="J42" s="32" t="n"/>
      <c r="K42" s="32" t="inlineStr">
        <is>
          <t>Thanh</t>
        </is>
      </c>
    </row>
    <row r="43">
      <c r="A43" s="32" t="inlineStr">
        <is>
          <t>TC-09-02</t>
        </is>
      </c>
      <c r="B43" s="33" t="inlineStr">
        <is>
          <t>UC09 – Xem trực tiếp trận đấu (Spectate Live Debate)</t>
        </is>
      </c>
      <c r="C43" s="33" t="inlineStr">
        <is>
          <t>Vào xem 1 phòng (Watch)</t>
        </is>
      </c>
      <c r="D43" s="33" t="inlineStr">
        <is>
          <t>Có phòng public đang debate</t>
        </is>
      </c>
      <c r="E43" s="33" t="inlineStr">
        <is>
          <t>1. Nhấn 'Watch' trên 1 phòng
2. Chờ kết nối</t>
        </is>
      </c>
      <c r="F43" s="33" t="inlineStr">
        <is>
          <t>room_id hợp lệ</t>
        </is>
      </c>
      <c r="G43" s="33" t="inlineStr">
        <is>
          <t>Frontend gửi {type:'spectate', room_id} qua WebSocket; nhận transcript real-time</t>
        </is>
      </c>
      <c r="H43" s="33" t="inlineStr">
        <is>
          <t>Kết nối và nhận transcript đúng</t>
        </is>
      </c>
      <c r="I43" s="34" t="inlineStr">
        <is>
          <t>Pass</t>
        </is>
      </c>
      <c r="J43" s="32" t="n"/>
      <c r="K43" s="32" t="inlineStr">
        <is>
          <t>Thanh</t>
        </is>
      </c>
    </row>
    <row r="44">
      <c r="A44" s="32" t="inlineStr">
        <is>
          <t>TC-09-03</t>
        </is>
      </c>
      <c r="B44" s="33" t="inlineStr">
        <is>
          <t>UC09 – Xem trực tiếp trận đấu (Spectate Live Debate)</t>
        </is>
      </c>
      <c r="C44" s="33" t="inlineStr">
        <is>
          <t>Không cần cấp quyền camera/mic khi spectate</t>
        </is>
      </c>
      <c r="D44" s="33" t="inlineStr">
        <is>
          <t>Đang xem 1 phòng ở chế độ spectate</t>
        </is>
      </c>
      <c r="E44" s="33" t="inlineStr">
        <is>
          <t>1. Vào xem phòng
2. Kiểm tra trình duyệt không hỏi quyền camera/mic</t>
        </is>
      </c>
      <c r="F44" s="33" t="inlineStr">
        <is>
          <t>—</t>
        </is>
      </c>
      <c r="G44" s="33" t="inlineStr">
        <is>
          <t>Không có yêu cầu cấp quyền camera/mic</t>
        </is>
      </c>
      <c r="H44" s="33" t="inlineStr">
        <is>
          <t>Không bị yêu cầu quyền, đúng read-only</t>
        </is>
      </c>
      <c r="I44" s="34" t="inlineStr">
        <is>
          <t>Pass</t>
        </is>
      </c>
      <c r="J44" s="32" t="n"/>
      <c r="K44" s="32" t="inlineStr">
        <is>
          <t>Linh</t>
        </is>
      </c>
    </row>
    <row r="45">
      <c r="A45" s="32" t="inlineStr">
        <is>
          <t>TC-09-04</t>
        </is>
      </c>
      <c r="B45" s="33" t="inlineStr">
        <is>
          <t>UC09 – Xem trực tiếp trận đấu (Spectate Live Debate)</t>
        </is>
      </c>
      <c r="C45" s="33" t="inlineStr">
        <is>
          <t>Phòng kết thúc khi đang xem</t>
        </is>
      </c>
      <c r="D45" s="33" t="inlineStr">
        <is>
          <t>Đang spectate 1 phòng</t>
        </is>
      </c>
      <c r="E45" s="33" t="inlineStr">
        <is>
          <t>1. Chờ đến khi trận trong phòng kết thúc
2. Quan sát màn hình</t>
        </is>
      </c>
      <c r="F45" s="33" t="inlineStr">
        <is>
          <t>—</t>
        </is>
      </c>
      <c r="G45" s="33" t="inlineStr">
        <is>
          <t>Nhận {type:'debate_ended'}, hiển thị Scoreboard, có thể quay lại Dashboard</t>
        </is>
      </c>
      <c r="H45" s="33" t="inlineStr">
        <is>
          <t>Hiện Scoreboard đúng khi trận kết thúc</t>
        </is>
      </c>
      <c r="I45" s="34" t="inlineStr">
        <is>
          <t>Pass</t>
        </is>
      </c>
      <c r="J45" s="32" t="n"/>
      <c r="K45" s="32" t="inlineStr">
        <is>
          <t>Bảo</t>
        </is>
      </c>
    </row>
    <row r="46">
      <c r="A46" s="32" t="inlineStr">
        <is>
          <t>TC-09-05</t>
        </is>
      </c>
      <c r="B46" s="33" t="inlineStr">
        <is>
          <t>UC09 – Xem trực tiếp trận đấu (Spectate Live Debate)</t>
        </is>
      </c>
      <c r="C46" s="33" t="inlineStr">
        <is>
          <t>Không có phòng public nào đang hoạt động</t>
        </is>
      </c>
      <c r="D46" s="33" t="inlineStr">
        <is>
          <t>Không có phòng nào đang debate công khai</t>
        </is>
      </c>
      <c r="E46" s="33" t="inlineStr">
        <is>
          <t>1. Vào tab 'Live'
2. Quan sát danh sách</t>
        </is>
      </c>
      <c r="F46" s="33" t="inlineStr">
        <is>
          <t>—</t>
        </is>
      </c>
      <c r="G46" s="33" t="inlineStr">
        <is>
          <t>Hiển thị thông báo 'Hiện không có trận nào đang diễn ra', không lỗi</t>
        </is>
      </c>
      <c r="H46" s="33" t="inlineStr">
        <is>
          <t>Hiển thị danh sách trống, không có nút Watch, không lỗi console</t>
        </is>
      </c>
      <c r="I46" s="34" t="inlineStr">
        <is>
          <t>Fail</t>
        </is>
      </c>
      <c r="J46" s="32" t="inlineStr">
        <is>
          <t>DEF-06</t>
        </is>
      </c>
      <c r="K46" s="32" t="inlineStr">
        <is>
          <t>Bảo</t>
        </is>
      </c>
    </row>
    <row r="47">
      <c r="A47" s="32" t="inlineStr">
        <is>
          <t>TC-10-01</t>
        </is>
      </c>
      <c r="B47" s="33" t="inlineStr">
        <is>
          <t>UC10 – Hệ thống Thành tựu &amp; Cửa hàng (Achievement &amp; Store)</t>
        </is>
      </c>
      <c r="C47" s="33" t="inlineStr">
        <is>
          <t>Tự động mở khóa thành tựu sau trận</t>
        </is>
      </c>
      <c r="D47" s="33" t="inlineStr">
        <is>
          <t>Đã đăng nhập; vừa hoàn thành 1 trận đạt điều kiện thành tựu</t>
        </is>
      </c>
      <c r="E47" s="33" t="inlineStr">
        <is>
          <t>1. Kết thúc 1 trận thỏa điều kiện (VD: thắng trận đầu tiên)
2. Kiểm tra thông báo thành tựu</t>
        </is>
      </c>
      <c r="F47" s="33" t="inlineStr">
        <is>
          <t>POST /save-match</t>
        </is>
      </c>
      <c r="G47" s="33" t="inlineStr">
        <is>
          <t>Backend cập nhật user_achievements, gửi thông báo thành tựu mới</t>
        </is>
      </c>
      <c r="H47" s="33" t="inlineStr">
        <is>
          <t>Nhận thông báo thành tựu đúng</t>
        </is>
      </c>
      <c r="I47" s="34" t="inlineStr">
        <is>
          <t>Pass</t>
        </is>
      </c>
      <c r="J47" s="32" t="n"/>
      <c r="K47" s="32" t="inlineStr">
        <is>
          <t>Thịnh</t>
        </is>
      </c>
    </row>
    <row r="48">
      <c r="A48" s="32" t="inlineStr">
        <is>
          <t>TC-10-02</t>
        </is>
      </c>
      <c r="B48" s="33" t="inlineStr">
        <is>
          <t>UC10 – Hệ thống Thành tựu &amp; Cửa hàng (Achievement &amp; Store)</t>
        </is>
      </c>
      <c r="C48" s="33" t="inlineStr">
        <is>
          <t>Xem danh sách vật phẩm trong Store</t>
        </is>
      </c>
      <c r="D48" s="33" t="inlineStr">
        <is>
          <t>Đã đăng nhập</t>
        </is>
      </c>
      <c r="E48" s="33" t="inlineStr">
        <is>
          <t>1. Vào tab 'Store' trong Dashboard
2. Quan sát danh sách vật phẩm</t>
        </is>
      </c>
      <c r="F48" s="33" t="inlineStr">
        <is>
          <t>—</t>
        </is>
      </c>
      <c r="G48" s="33" t="inlineStr">
        <is>
          <t>Hiển thị avatar frame, badge, nickname card kèm giá bằng Store Points</t>
        </is>
      </c>
      <c r="H48" s="33" t="inlineStr">
        <is>
          <t>Danh sách vật phẩm hiển thị đúng giá</t>
        </is>
      </c>
      <c r="I48" s="34" t="inlineStr">
        <is>
          <t>Pass</t>
        </is>
      </c>
      <c r="J48" s="32" t="n"/>
      <c r="K48" s="32" t="inlineStr">
        <is>
          <t>Thịnh</t>
        </is>
      </c>
    </row>
    <row r="49">
      <c r="A49" s="32" t="inlineStr">
        <is>
          <t>TC-10-03</t>
        </is>
      </c>
      <c r="B49" s="33" t="inlineStr">
        <is>
          <t>UC10 – Hệ thống Thành tựu &amp; Cửa hàng (Achievement &amp; Store)</t>
        </is>
      </c>
      <c r="C49" s="33" t="inlineStr">
        <is>
          <t>Mua vật phẩm đủ điểm</t>
        </is>
      </c>
      <c r="D49" s="33" t="inlineStr">
        <is>
          <t>store_points của Player ≥ giá vật phẩm</t>
        </is>
      </c>
      <c r="E49" s="33" t="inlineStr">
        <is>
          <t>1. Chọn 1 vật phẩm
2. Nhấn 'Buy'</t>
        </is>
      </c>
      <c r="F49" s="33" t="inlineStr">
        <is>
          <t>store_points đủ</t>
        </is>
      </c>
      <c r="G49" s="33" t="inlineStr">
        <is>
          <t>Trừ điểm, thêm vật phẩm vào user_items, trả về thành công</t>
        </is>
      </c>
      <c r="H49" s="33" t="inlineStr">
        <is>
          <t>Mua thành công, vật phẩm xuất hiện trong bộ sưu tập</t>
        </is>
      </c>
      <c r="I49" s="34" t="inlineStr">
        <is>
          <t>Pass</t>
        </is>
      </c>
      <c r="J49" s="32" t="n"/>
      <c r="K49" s="32" t="inlineStr">
        <is>
          <t>Linh</t>
        </is>
      </c>
    </row>
    <row r="50">
      <c r="A50" s="32" t="inlineStr">
        <is>
          <t>TC-10-04</t>
        </is>
      </c>
      <c r="B50" s="33" t="inlineStr">
        <is>
          <t>UC10 – Hệ thống Thành tựu &amp; Cửa hàng (Achievement &amp; Store)</t>
        </is>
      </c>
      <c r="C50" s="33" t="inlineStr">
        <is>
          <t>Mua vật phẩm không đủ điểm</t>
        </is>
      </c>
      <c r="D50" s="33" t="inlineStr">
        <is>
          <t>store_points của Player &lt; giá vật phẩm</t>
        </is>
      </c>
      <c r="E50" s="33" t="inlineStr">
        <is>
          <t>1. Chọn vật phẩm giá cao
2. Nhấn 'Buy'</t>
        </is>
      </c>
      <c r="F50" s="33" t="inlineStr">
        <is>
          <t>store_points không đủ</t>
        </is>
      </c>
      <c r="G50" s="33" t="inlineStr">
        <is>
          <t>HTTP 400 'Not enough Store Points'; gợi ý chơi thêm trận để kiếm điểm</t>
        </is>
      </c>
      <c r="H50" s="33" t="inlineStr">
        <is>
          <t>Báo lỗi đúng, không trừ điểm</t>
        </is>
      </c>
      <c r="I50" s="34" t="inlineStr">
        <is>
          <t>Pass</t>
        </is>
      </c>
      <c r="J50" s="32" t="n"/>
      <c r="K50" s="32" t="inlineStr">
        <is>
          <t>Linh</t>
        </is>
      </c>
    </row>
    <row r="51">
      <c r="A51" s="32" t="inlineStr">
        <is>
          <t>TC-10-05</t>
        </is>
      </c>
      <c r="B51" s="33" t="inlineStr">
        <is>
          <t>UC10 – Hệ thống Thành tựu &amp; Cửa hàng (Achievement &amp; Store)</t>
        </is>
      </c>
      <c r="C51" s="33" t="inlineStr">
        <is>
          <t>Mua trùng vật phẩm đã sở hữu</t>
        </is>
      </c>
      <c r="D51" s="33" t="inlineStr">
        <is>
          <t>Player đã sở hữu vật phẩm X</t>
        </is>
      </c>
      <c r="E51" s="33" t="inlineStr">
        <is>
          <t>1. Chọn vật phẩm X đã sở hữu
2. Nhấn 'Buy'</t>
        </is>
      </c>
      <c r="F51" s="33" t="inlineStr">
        <is>
          <t>vật phẩm đã có trong user_items</t>
        </is>
      </c>
      <c r="G51" s="33" t="inlineStr">
        <is>
          <t>Hệ thống chặn mua trùng hoặc báo đã sở hữu, không trừ điểm 2 lần</t>
        </is>
      </c>
      <c r="H51" s="33" t="inlineStr">
        <is>
          <t>Vẫn cho mua trùng và trừ điểm lần 2 (chưa kiểm tra sở hữu)</t>
        </is>
      </c>
      <c r="I51" s="34" t="inlineStr">
        <is>
          <t>Fail</t>
        </is>
      </c>
      <c r="J51" s="32" t="inlineStr">
        <is>
          <t>DEF-07</t>
        </is>
      </c>
      <c r="K51" s="32" t="inlineStr">
        <is>
          <t>Bảo</t>
        </is>
      </c>
    </row>
  </sheetData>
  <autoFilter ref="A1:K4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1" min="1" max="1"/>
    <col width="30" customWidth="1" style="21" min="2" max="2"/>
    <col width="14" customWidth="1" style="21" min="3" max="3"/>
    <col width="12" customWidth="1" style="21" min="4" max="6"/>
  </cols>
  <sheetData>
    <row r="1" ht="16.15" customHeight="1" s="22">
      <c r="A1" s="35" t="inlineStr">
        <is>
          <t>Test Summary Report – KaiKo (PA4)</t>
        </is>
      </c>
    </row>
    <row r="3" ht="15" customHeight="1" s="22">
      <c r="A3" s="23" t="inlineStr">
        <is>
          <t>Use Case</t>
        </is>
      </c>
      <c r="B3" s="23" t="inlineStr">
        <is>
          <t>Use Case Name</t>
        </is>
      </c>
      <c r="C3" s="23" t="inlineStr">
        <is>
          <t># Test Cases</t>
        </is>
      </c>
      <c r="D3" s="23" t="inlineStr">
        <is>
          <t># Passed</t>
        </is>
      </c>
      <c r="E3" s="23" t="inlineStr">
        <is>
          <t># Failed</t>
        </is>
      </c>
      <c r="F3" s="23" t="inlineStr">
        <is>
          <t>Pass Rate</t>
        </is>
      </c>
    </row>
    <row r="4" ht="15" customHeight="1" s="22">
      <c r="A4" s="36" t="inlineStr">
        <is>
          <t>UC01</t>
        </is>
      </c>
      <c r="B4" s="37" t="inlineStr">
        <is>
          <t>Đăng nhập (Login)</t>
        </is>
      </c>
      <c r="C4" s="36">
        <f>COUNTIF('Test Cases'!$A:$A,"TC-01-*")</f>
        <v/>
      </c>
      <c r="D4" s="36">
        <f>COUNTIFS('Test Cases'!$A:$A,"TC-01-*",'Test Cases'!$I:$I,"Pass")</f>
        <v/>
      </c>
      <c r="E4" s="36">
        <f>COUNTIFS('Test Cases'!$A:$A,"TC-01-*",'Test Cases'!$I:$I,"Fail")</f>
        <v/>
      </c>
      <c r="F4" s="38">
        <f>IF(C4=0,0,D4/C4)</f>
        <v/>
      </c>
    </row>
    <row r="5" ht="15" customHeight="1" s="22">
      <c r="A5" s="36" t="inlineStr">
        <is>
          <t>UC02</t>
        </is>
      </c>
      <c r="B5" s="37" t="inlineStr">
        <is>
          <t>Đăng ký tài khoản (Register)</t>
        </is>
      </c>
      <c r="C5" s="36">
        <f>COUNTIF('Test Cases'!$A:$A,"TC-02-*")</f>
        <v/>
      </c>
      <c r="D5" s="36">
        <f>COUNTIFS('Test Cases'!$A:$A,"TC-02-*",'Test Cases'!$I:$I,"Pass")</f>
        <v/>
      </c>
      <c r="E5" s="36">
        <f>COUNTIFS('Test Cases'!$A:$A,"TC-02-*",'Test Cases'!$I:$I,"Fail")</f>
        <v/>
      </c>
      <c r="F5" s="38">
        <f>IF(C5=0,0,D5/C5)</f>
        <v/>
      </c>
    </row>
    <row r="6" ht="15" customHeight="1" s="22">
      <c r="A6" s="36" t="inlineStr">
        <is>
          <t>UC03</t>
        </is>
      </c>
      <c r="B6" s="37" t="inlineStr">
        <is>
          <t>Tìm trận nhanh (Find-Match)</t>
        </is>
      </c>
      <c r="C6" s="36">
        <f>COUNTIF('Test Cases'!$A:$A,"TC-03-*")</f>
        <v/>
      </c>
      <c r="D6" s="36">
        <f>COUNTIFS('Test Cases'!$A:$A,"TC-03-*",'Test Cases'!$I:$I,"Pass")</f>
        <v/>
      </c>
      <c r="E6" s="36">
        <f>COUNTIFS('Test Cases'!$A:$A,"TC-03-*",'Test Cases'!$I:$I,"Fail")</f>
        <v/>
      </c>
      <c r="F6" s="38">
        <f>IF(C6=0,0,D6/C6)</f>
        <v/>
      </c>
    </row>
    <row r="7" ht="15" customHeight="1" s="22">
      <c r="A7" s="36" t="inlineStr">
        <is>
          <t>UC04</t>
        </is>
      </c>
      <c r="B7" s="37" t="inlineStr">
        <is>
          <t>Tranh biện Video 1v1</t>
        </is>
      </c>
      <c r="C7" s="36">
        <f>COUNTIF('Test Cases'!$A:$A,"TC-04-*")</f>
        <v/>
      </c>
      <c r="D7" s="36">
        <f>COUNTIFS('Test Cases'!$A:$A,"TC-04-*",'Test Cases'!$I:$I,"Pass")</f>
        <v/>
      </c>
      <c r="E7" s="36">
        <f>COUNTIFS('Test Cases'!$A:$A,"TC-04-*",'Test Cases'!$I:$I,"Fail")</f>
        <v/>
      </c>
      <c r="F7" s="38">
        <f>IF(C7=0,0,D7/C7)</f>
        <v/>
      </c>
    </row>
    <row r="8" ht="15" customHeight="1" s="22">
      <c r="A8" s="36" t="inlineStr">
        <is>
          <t>UC05</t>
        </is>
      </c>
      <c r="B8" s="37" t="inlineStr">
        <is>
          <t>Nhận cảnh báo ngụy biện</t>
        </is>
      </c>
      <c r="C8" s="36">
        <f>COUNTIF('Test Cases'!$A:$A,"TC-05-*")</f>
        <v/>
      </c>
      <c r="D8" s="36">
        <f>COUNTIFS('Test Cases'!$A:$A,"TC-05-*",'Test Cases'!$I:$I,"Pass")</f>
        <v/>
      </c>
      <c r="E8" s="36">
        <f>COUNTIFS('Test Cases'!$A:$A,"TC-05-*",'Test Cases'!$I:$I,"Fail")</f>
        <v/>
      </c>
      <c r="F8" s="38">
        <f>IF(C8=0,0,D8/C8)</f>
        <v/>
      </c>
    </row>
    <row r="9" ht="15" customHeight="1" s="22">
      <c r="A9" s="36" t="inlineStr">
        <is>
          <t>UC06</t>
        </is>
      </c>
      <c r="B9" s="37" t="inlineStr">
        <is>
          <t>Scoreboard &amp; phân tích</t>
        </is>
      </c>
      <c r="C9" s="36">
        <f>COUNTIF('Test Cases'!$A:$A,"TC-06-*")</f>
        <v/>
      </c>
      <c r="D9" s="36">
        <f>COUNTIFS('Test Cases'!$A:$A,"TC-06-*",'Test Cases'!$I:$I,"Pass")</f>
        <v/>
      </c>
      <c r="E9" s="36">
        <f>COUNTIFS('Test Cases'!$A:$A,"TC-06-*",'Test Cases'!$I:$I,"Fail")</f>
        <v/>
      </c>
      <c r="F9" s="38">
        <f>IF(C9=0,0,D9/C9)</f>
        <v/>
      </c>
    </row>
    <row r="10" ht="15" customHeight="1" s="22">
      <c r="A10" s="36" t="inlineStr">
        <is>
          <t>UC07</t>
        </is>
      </c>
      <c r="B10" s="37" t="inlineStr">
        <is>
          <t>Luyện tập với AI (Solo)</t>
        </is>
      </c>
      <c r="C10" s="36">
        <f>COUNTIF('Test Cases'!$A:$A,"TC-07-*")</f>
        <v/>
      </c>
      <c r="D10" s="36">
        <f>COUNTIFS('Test Cases'!$A:$A,"TC-07-*",'Test Cases'!$I:$I,"Pass")</f>
        <v/>
      </c>
      <c r="E10" s="36">
        <f>COUNTIFS('Test Cases'!$A:$A,"TC-07-*",'Test Cases'!$I:$I,"Fail")</f>
        <v/>
      </c>
      <c r="F10" s="38">
        <f>IF(C10=0,0,D10/C10)</f>
        <v/>
      </c>
    </row>
    <row r="11" ht="15" customHeight="1" s="22">
      <c r="A11" s="36" t="inlineStr">
        <is>
          <t>UC08</t>
        </is>
      </c>
      <c r="B11" s="37" t="inlineStr">
        <is>
          <t>Lịch sử trận &amp; ELO</t>
        </is>
      </c>
      <c r="C11" s="36">
        <f>COUNTIF('Test Cases'!$A:$A,"TC-08-*")</f>
        <v/>
      </c>
      <c r="D11" s="36">
        <f>COUNTIFS('Test Cases'!$A:$A,"TC-08-*",'Test Cases'!$I:$I,"Pass")</f>
        <v/>
      </c>
      <c r="E11" s="36">
        <f>COUNTIFS('Test Cases'!$A:$A,"TC-08-*",'Test Cases'!$I:$I,"Fail")</f>
        <v/>
      </c>
      <c r="F11" s="38">
        <f>IF(C11=0,0,D11/C11)</f>
        <v/>
      </c>
    </row>
    <row r="12" ht="15" customHeight="1" s="22">
      <c r="A12" s="36" t="inlineStr">
        <is>
          <t>UC09</t>
        </is>
      </c>
      <c r="B12" s="37" t="inlineStr">
        <is>
          <t>Xem trực tiếp trận đấu (Spectate)</t>
        </is>
      </c>
      <c r="C12" s="36">
        <f>COUNTIF('Test Cases'!$A:$A,"TC-09-*")</f>
        <v/>
      </c>
      <c r="D12" s="36">
        <f>COUNTIFS('Test Cases'!$A:$A,"TC-09-*",'Test Cases'!$I:$I,"Pass")</f>
        <v/>
      </c>
      <c r="E12" s="36">
        <f>COUNTIFS('Test Cases'!$A:$A,"TC-09-*",'Test Cases'!$I:$I,"Fail")</f>
        <v/>
      </c>
      <c r="F12" s="38">
        <f>IF(C12=0,0,D12/C12)</f>
        <v/>
      </c>
    </row>
    <row r="13">
      <c r="A13" s="36" t="inlineStr">
        <is>
          <t>UC10</t>
        </is>
      </c>
      <c r="B13" s="37" t="inlineStr">
        <is>
          <t>Thành tựu &amp; Cửa hàng (Achievement &amp; Store)</t>
        </is>
      </c>
      <c r="C13" s="36">
        <f>COUNTIF('Test Cases'!$A:$A,"TC-10-*")</f>
        <v/>
      </c>
      <c r="D13" s="36">
        <f>COUNTIFS('Test Cases'!$A:$A,"TC-10-*",'Test Cases'!$I:$I,"Pass")</f>
        <v/>
      </c>
      <c r="E13" s="36">
        <f>COUNTIFS('Test Cases'!$A:$A,"TC-10-*",'Test Cases'!$I:$I,"Fail")</f>
        <v/>
      </c>
      <c r="F13" s="38">
        <f>IF(C13=0,0,D13/C13)</f>
        <v/>
      </c>
    </row>
    <row r="14" ht="15" customHeight="1" s="22">
      <c r="A14" s="39" t="inlineStr">
        <is>
          <t>TỔNG</t>
        </is>
      </c>
      <c r="B14" s="40" t="inlineStr">
        <is>
          <t>Tất cả use-case</t>
        </is>
      </c>
      <c r="C14" s="39">
        <f>SUM(C4:C13)</f>
        <v/>
      </c>
      <c r="D14" s="39">
        <f>SUM(D4:D13)</f>
        <v/>
      </c>
      <c r="E14" s="39">
        <f>SUM(E4:E13)</f>
        <v/>
      </c>
      <c r="F14" s="41">
        <f>IF(C14=0,0,D14/C14)</f>
        <v/>
      </c>
    </row>
    <row r="15" ht="15" customHeight="1" s="22"/>
    <row r="16">
      <c r="A16" s="42" t="inlineStr">
        <is>
          <t>Số use-case được test:</t>
        </is>
      </c>
      <c r="C16" s="21">
        <f>COUNTA(A4:A13)</f>
        <v/>
      </c>
    </row>
    <row r="17">
      <c r="A17" s="42" t="inlineStr">
        <is>
          <t>Ghi chú:</t>
        </is>
      </c>
      <c r="B17" s="21" t="inlineStr">
        <is>
          <t>Mỗi test case Fail đều có Defect liên kết ở sheet 'Defects'.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1" min="1" max="1"/>
    <col width="15" customWidth="1" style="21" min="2" max="2"/>
    <col width="9" customWidth="1" style="21" min="3" max="3"/>
    <col width="40" customWidth="1" style="21" min="4" max="4"/>
    <col width="10" customWidth="1" style="21" min="5" max="6"/>
    <col width="9" customWidth="1" style="21" min="7" max="7"/>
    <col width="42" customWidth="1" style="21" min="8" max="8"/>
  </cols>
  <sheetData>
    <row r="1" ht="25.5" customHeight="1" s="22">
      <c r="A1" s="23" t="inlineStr">
        <is>
          <t>Defect ID</t>
        </is>
      </c>
      <c r="B1" s="23" t="inlineStr">
        <is>
          <t>Linked Test Case</t>
        </is>
      </c>
      <c r="C1" s="23" t="inlineStr">
        <is>
          <t>Use Case</t>
        </is>
      </c>
      <c r="D1" s="23" t="inlineStr">
        <is>
          <t>Description</t>
        </is>
      </c>
      <c r="E1" s="23" t="inlineStr">
        <is>
          <t>Severity</t>
        </is>
      </c>
      <c r="F1" s="23" t="inlineStr">
        <is>
          <t>Priority</t>
        </is>
      </c>
      <c r="G1" s="23" t="inlineStr">
        <is>
          <t>Status</t>
        </is>
      </c>
      <c r="H1" s="23" t="inlineStr">
        <is>
          <t>Suggested Fix</t>
        </is>
      </c>
    </row>
    <row r="2" ht="23.85" customHeight="1" s="22">
      <c r="A2" s="32" t="inlineStr">
        <is>
          <t>DEF-01</t>
        </is>
      </c>
      <c r="B2" s="32" t="inlineStr">
        <is>
          <t>TC-04-01</t>
        </is>
      </c>
      <c r="C2" s="32" t="inlineStr">
        <is>
          <t>UC04</t>
        </is>
      </c>
      <c r="D2" s="33" t="inlineStr">
        <is>
          <t>Video P2P của đối thủ đôi khi chưa attach vào thẻ &lt;video&gt; kịp khi vừa vào phòng</t>
        </is>
      </c>
      <c r="E2" s="30" t="inlineStr">
        <is>
          <t>Major</t>
        </is>
      </c>
      <c r="F2" s="32" t="inlineStr">
        <is>
          <t>High</t>
        </is>
      </c>
      <c r="G2" s="32" t="inlineStr">
        <is>
          <t>Open</t>
        </is>
      </c>
      <c r="H2" s="33" t="inlineStr">
        <is>
          <t>Đợi 'ontrack' rồi mới gán srcObject; thêm retry attach stream</t>
        </is>
      </c>
    </row>
    <row r="3" ht="23.85" customHeight="1" s="22">
      <c r="A3" s="27" t="inlineStr">
        <is>
          <t>DEF-02</t>
        </is>
      </c>
      <c r="B3" s="27" t="inlineStr">
        <is>
          <t>TC-04-02</t>
        </is>
      </c>
      <c r="C3" s="27" t="inlineStr">
        <is>
          <t>UC04</t>
        </is>
      </c>
      <c r="D3" s="28" t="inlineStr">
        <is>
          <t>Speech-to-text không nhận tiếng Việt khi locale trình duyệt khác vi-VN</t>
        </is>
      </c>
      <c r="E3" s="31" t="inlineStr">
        <is>
          <t>Major</t>
        </is>
      </c>
      <c r="F3" s="27" t="inlineStr">
        <is>
          <t>High</t>
        </is>
      </c>
      <c r="G3" s="27" t="inlineStr">
        <is>
          <t>Open</t>
        </is>
      </c>
      <c r="H3" s="28" t="inlineStr">
        <is>
          <t>Set recognition.lang='vi-VN' cố định thay vì theo locale browser</t>
        </is>
      </c>
    </row>
    <row r="4" ht="23.85" customHeight="1" s="22">
      <c r="A4" s="32" t="inlineStr">
        <is>
          <t>DEF-03</t>
        </is>
      </c>
      <c r="B4" s="32" t="inlineStr">
        <is>
          <t>TC-03-05</t>
        </is>
      </c>
      <c r="C4" s="32" t="inlineStr">
        <is>
          <t>UC03</t>
        </is>
      </c>
      <c r="D4" s="33" t="inlineStr">
        <is>
          <t>Không xử lý timeout khi mất kết nối WebSocket lúc chờ ghép cặp</t>
        </is>
      </c>
      <c r="E4" s="43" t="inlineStr">
        <is>
          <t>Medium</t>
        </is>
      </c>
      <c r="F4" s="32" t="inlineStr">
        <is>
          <t>Medium</t>
        </is>
      </c>
      <c r="G4" s="32" t="inlineStr">
        <is>
          <t>Open</t>
        </is>
      </c>
      <c r="H4" s="33" t="inlineStr">
        <is>
          <t>Thêm heartbeat/timeout + tự động thử ghép lại và thông báo cho người dùng</t>
        </is>
      </c>
    </row>
    <row r="5" ht="23.85" customHeight="1" s="22">
      <c r="A5" s="27" t="inlineStr">
        <is>
          <t>DEF-04</t>
        </is>
      </c>
      <c r="B5" s="27" t="inlineStr">
        <is>
          <t>TC-04-05</t>
        </is>
      </c>
      <c r="C5" s="27" t="inlineStr">
        <is>
          <t>UC04</t>
        </is>
      </c>
      <c r="D5" s="28" t="inlineStr">
        <is>
          <t>Firefox không hỗ trợ Web Speech API → chế độ giọng nói không chạy</t>
        </is>
      </c>
      <c r="E5" s="44" t="inlineStr">
        <is>
          <t>Medium</t>
        </is>
      </c>
      <c r="F5" s="27" t="inlineStr">
        <is>
          <t>Low</t>
        </is>
      </c>
      <c r="G5" s="27" t="inlineStr">
        <is>
          <t>Open</t>
        </is>
      </c>
      <c r="H5" s="28" t="inlineStr">
        <is>
          <t>Phát hiện trình duyệt, cảnh báo &amp; gợi ý dùng Chrome/Edge (giới hạn đã biết)</t>
        </is>
      </c>
    </row>
    <row r="6" ht="23.85" customHeight="1" s="22">
      <c r="A6" s="32" t="inlineStr">
        <is>
          <t>DEF-05</t>
        </is>
      </c>
      <c r="B6" s="32" t="inlineStr">
        <is>
          <t>TC-06-05</t>
        </is>
      </c>
      <c r="C6" s="32" t="inlineStr">
        <is>
          <t>UC06</t>
        </is>
      </c>
      <c r="D6" s="33" t="inlineStr">
        <is>
          <t>Gemini free-tier bị rate limit khi nhiều trận chấm điểm đồng thời</t>
        </is>
      </c>
      <c r="E6" s="43" t="inlineStr">
        <is>
          <t>Medium</t>
        </is>
      </c>
      <c r="F6" s="32" t="inlineStr">
        <is>
          <t>Medium</t>
        </is>
      </c>
      <c r="G6" s="32" t="inlineStr">
        <is>
          <t>Open</t>
        </is>
      </c>
      <c r="H6" s="33" t="inlineStr">
        <is>
          <t>Thêm hàng đợi/retry với backoff; cache; nâng quota API</t>
        </is>
      </c>
    </row>
    <row r="7">
      <c r="A7" s="32" t="inlineStr">
        <is>
          <t>DEF-06</t>
        </is>
      </c>
      <c r="B7" s="32" t="inlineStr">
        <is>
          <t>TC-09-05</t>
        </is>
      </c>
      <c r="C7" s="32" t="inlineStr">
        <is>
          <t>UC09</t>
        </is>
      </c>
      <c r="D7" s="33" t="inlineStr">
        <is>
          <t>Khi không có phòng public nào đang debate, trang Live không hiển thị trạng thái rỗng rõ ràng (đôi lúc hiện màn hình trắng/loading vô hạn)</t>
        </is>
      </c>
      <c r="E7" s="30" t="inlineStr">
        <is>
          <t>Minor</t>
        </is>
      </c>
      <c r="F7" s="32" t="inlineStr">
        <is>
          <t>Low</t>
        </is>
      </c>
      <c r="G7" s="32" t="inlineStr">
        <is>
          <t>Open</t>
        </is>
      </c>
      <c r="H7" s="33" t="inlineStr">
        <is>
          <t>Thêm empty-state UI: thông báo 'Hiện không có trận nào đang diễn ra' khi danh sách rỗng</t>
        </is>
      </c>
    </row>
    <row r="8">
      <c r="A8" s="32" t="inlineStr">
        <is>
          <t>DEF-07</t>
        </is>
      </c>
      <c r="B8" s="32" t="inlineStr">
        <is>
          <t>TC-10-05</t>
        </is>
      </c>
      <c r="C8" s="32" t="inlineStr">
        <is>
          <t>UC10</t>
        </is>
      </c>
      <c r="D8" s="33" t="inlineStr">
        <is>
          <t>Store cho phép mua trùng vật phẩm đã sở hữu và trừ Store Points lần thứ hai (thiếu kiểm tra user_items trước khi tạo giao dịch)</t>
        </is>
      </c>
      <c r="E8" s="30" t="inlineStr">
        <is>
          <t>Major</t>
        </is>
      </c>
      <c r="F8" s="32" t="inlineStr">
        <is>
          <t>High</t>
        </is>
      </c>
      <c r="G8" s="32" t="inlineStr">
        <is>
          <t>Open</t>
        </is>
      </c>
      <c r="H8" s="33" t="inlineStr">
        <is>
          <t>Kiểm tra user_items trước khi xử lý giao dịch mua; trả về HTTP 409 nếu đã sở hữu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2026-07-02T17:00:49Z</dcterms:created>
  <dcterms:modified xmlns:dcterms="http://purl.org/dc/terms/" xmlns:xsi="http://www.w3.org/2001/XMLSchema-instance" xsi:type="dcterms:W3CDTF">2026-07-07T01:07:25Z</dcterms:modified>
  <cp:revision>0</cp:revision>
</cp:coreProperties>
</file>